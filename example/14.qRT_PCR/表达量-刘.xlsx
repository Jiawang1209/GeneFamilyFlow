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yue/Desktop/workspace/Evolution_Project/Evolution_NPF_Sb/14.qRT_PCR/"/>
    </mc:Choice>
  </mc:AlternateContent>
  <xr:revisionPtr revIDLastSave="0" documentId="13_ncr:1_{AA0C3E80-F33D-4F49-9F0E-562357C49462}" xr6:coauthVersionLast="47" xr6:coauthVersionMax="47" xr10:uidLastSave="{00000000-0000-0000-0000-000000000000}"/>
  <bookViews>
    <workbookView xWindow="0" yWindow="760" windowWidth="23260" windowHeight="12580" activeTab="4" xr2:uid="{91149C7C-EF4F-934B-9683-A76C97E12B2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2" i="3" l="1"/>
  <c r="W42" i="3" s="1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U53" i="3" s="1"/>
  <c r="W53" i="3" s="1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Q40" i="3"/>
  <c r="U40" i="3" s="1"/>
  <c r="W40" i="3" s="1"/>
  <c r="Q41" i="3"/>
  <c r="Q42" i="3"/>
  <c r="Q43" i="3"/>
  <c r="Q44" i="3"/>
  <c r="U44" i="3" s="1"/>
  <c r="W44" i="3" s="1"/>
  <c r="Q45" i="3"/>
  <c r="Q46" i="3"/>
  <c r="U46" i="3" s="1"/>
  <c r="W46" i="3" s="1"/>
  <c r="Q47" i="3"/>
  <c r="Q48" i="3"/>
  <c r="Q49" i="3"/>
  <c r="Q50" i="3"/>
  <c r="Q51" i="3"/>
  <c r="U51" i="3" s="1"/>
  <c r="W51" i="3" s="1"/>
  <c r="Q52" i="3"/>
  <c r="Q53" i="3"/>
  <c r="Q54" i="3"/>
  <c r="Q55" i="3"/>
  <c r="Q56" i="3"/>
  <c r="Q57" i="3"/>
  <c r="U57" i="3" s="1"/>
  <c r="W57" i="3" s="1"/>
  <c r="Q58" i="3"/>
  <c r="Q59" i="3"/>
  <c r="Q60" i="3"/>
  <c r="Q61" i="3"/>
  <c r="U61" i="3" s="1"/>
  <c r="W61" i="3" s="1"/>
  <c r="Q62" i="3"/>
  <c r="U62" i="3" s="1"/>
  <c r="W62" i="3" s="1"/>
  <c r="Q63" i="3"/>
  <c r="Q64" i="3"/>
  <c r="Q65" i="3"/>
  <c r="Q66" i="3"/>
  <c r="Q67" i="3"/>
  <c r="Q68" i="3"/>
  <c r="Q69" i="3"/>
  <c r="U9" i="3"/>
  <c r="W9" i="3" s="1"/>
  <c r="U11" i="3"/>
  <c r="W11" i="3" s="1"/>
  <c r="U12" i="3"/>
  <c r="W12" i="3" s="1"/>
  <c r="U33" i="3"/>
  <c r="W33" i="3" s="1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U22" i="3" s="1"/>
  <c r="W22" i="3" s="1"/>
  <c r="S23" i="3"/>
  <c r="U23" i="3" s="1"/>
  <c r="W23" i="3" s="1"/>
  <c r="S24" i="3"/>
  <c r="S25" i="3"/>
  <c r="S26" i="3"/>
  <c r="S27" i="3"/>
  <c r="S28" i="3"/>
  <c r="S29" i="3"/>
  <c r="S30" i="3"/>
  <c r="S31" i="3"/>
  <c r="S32" i="3"/>
  <c r="S33" i="3"/>
  <c r="S34" i="3"/>
  <c r="S5" i="3"/>
  <c r="Q6" i="3"/>
  <c r="U6" i="3" s="1"/>
  <c r="W6" i="3" s="1"/>
  <c r="Q7" i="3"/>
  <c r="U7" i="3" s="1"/>
  <c r="W7" i="3" s="1"/>
  <c r="Q8" i="3"/>
  <c r="Q9" i="3"/>
  <c r="Q10" i="3"/>
  <c r="Q11" i="3"/>
  <c r="Q12" i="3"/>
  <c r="Q13" i="3"/>
  <c r="Q14" i="3"/>
  <c r="Q15" i="3"/>
  <c r="Q16" i="3"/>
  <c r="Q17" i="3"/>
  <c r="U17" i="3" s="1"/>
  <c r="W17" i="3" s="1"/>
  <c r="Q18" i="3"/>
  <c r="U18" i="3" s="1"/>
  <c r="W18" i="3" s="1"/>
  <c r="Q19" i="3"/>
  <c r="Q20" i="3"/>
  <c r="Q21" i="3"/>
  <c r="Q22" i="3"/>
  <c r="Q23" i="3"/>
  <c r="Q24" i="3"/>
  <c r="Q25" i="3"/>
  <c r="Q26" i="3"/>
  <c r="Q27" i="3"/>
  <c r="Q28" i="3"/>
  <c r="U28" i="3" s="1"/>
  <c r="W28" i="3" s="1"/>
  <c r="Q29" i="3"/>
  <c r="U29" i="3" s="1"/>
  <c r="W29" i="3" s="1"/>
  <c r="Q30" i="3"/>
  <c r="Q31" i="3"/>
  <c r="Q32" i="3"/>
  <c r="Q33" i="3"/>
  <c r="Q34" i="3"/>
  <c r="U34" i="3" s="1"/>
  <c r="W34" i="3" s="1"/>
  <c r="Q5" i="3"/>
  <c r="O39" i="3"/>
  <c r="G39" i="3"/>
  <c r="O4" i="3"/>
  <c r="G4" i="3"/>
  <c r="K12" i="1"/>
  <c r="L12" i="1" s="1"/>
  <c r="M12" i="1" s="1"/>
  <c r="J4" i="1"/>
  <c r="J5" i="1"/>
  <c r="J6" i="1"/>
  <c r="J7" i="1"/>
  <c r="J8" i="1"/>
  <c r="J9" i="1"/>
  <c r="J10" i="1"/>
  <c r="J11" i="1"/>
  <c r="J12" i="1"/>
  <c r="J15" i="1"/>
  <c r="J16" i="1"/>
  <c r="J17" i="1"/>
  <c r="J14" i="1"/>
  <c r="J18" i="1"/>
  <c r="J19" i="1"/>
  <c r="J20" i="1"/>
  <c r="J21" i="1"/>
  <c r="J22" i="1"/>
  <c r="J23" i="1"/>
  <c r="J24" i="1"/>
  <c r="J3" i="1"/>
  <c r="I4" i="1"/>
  <c r="I5" i="1"/>
  <c r="I6" i="1"/>
  <c r="I7" i="1"/>
  <c r="I8" i="1"/>
  <c r="K8" i="1" s="1"/>
  <c r="L8" i="1" s="1"/>
  <c r="M8" i="1" s="1"/>
  <c r="I9" i="1"/>
  <c r="K9" i="1" s="1"/>
  <c r="L9" i="1" s="1"/>
  <c r="M9" i="1" s="1"/>
  <c r="I10" i="1"/>
  <c r="K10" i="1" s="1"/>
  <c r="L10" i="1" s="1"/>
  <c r="M10" i="1" s="1"/>
  <c r="I11" i="1"/>
  <c r="K11" i="1" s="1"/>
  <c r="L11" i="1" s="1"/>
  <c r="M11" i="1" s="1"/>
  <c r="I12" i="1"/>
  <c r="I15" i="1"/>
  <c r="I16" i="1"/>
  <c r="I17" i="1"/>
  <c r="I14" i="1"/>
  <c r="I18" i="1"/>
  <c r="I19" i="1"/>
  <c r="I20" i="1"/>
  <c r="I21" i="1"/>
  <c r="I22" i="1"/>
  <c r="I23" i="1"/>
  <c r="I24" i="1"/>
  <c r="I3" i="1"/>
  <c r="K3" i="1" s="1"/>
  <c r="L3" i="1" s="1"/>
  <c r="M3" i="1" s="1"/>
  <c r="U66" i="3" l="1"/>
  <c r="W66" i="3" s="1"/>
  <c r="U55" i="3"/>
  <c r="W55" i="3" s="1"/>
  <c r="U26" i="3"/>
  <c r="W26" i="3" s="1"/>
  <c r="U67" i="3"/>
  <c r="W67" i="3" s="1"/>
  <c r="U32" i="3"/>
  <c r="W32" i="3" s="1"/>
  <c r="U21" i="3"/>
  <c r="W21" i="3" s="1"/>
  <c r="U65" i="3"/>
  <c r="W65" i="3" s="1"/>
  <c r="U54" i="3"/>
  <c r="W54" i="3" s="1"/>
  <c r="U43" i="3"/>
  <c r="W43" i="3" s="1"/>
  <c r="U69" i="3"/>
  <c r="W69" i="3" s="1"/>
  <c r="U58" i="3"/>
  <c r="W58" i="3" s="1"/>
  <c r="U47" i="3"/>
  <c r="W47" i="3" s="1"/>
  <c r="U56" i="3"/>
  <c r="W56" i="3" s="1"/>
  <c r="U31" i="3"/>
  <c r="W31" i="3" s="1"/>
  <c r="U20" i="3"/>
  <c r="W20" i="3" s="1"/>
  <c r="U64" i="3"/>
  <c r="W64" i="3" s="1"/>
  <c r="U45" i="3"/>
  <c r="W45" i="3" s="1"/>
  <c r="U30" i="3"/>
  <c r="W30" i="3" s="1"/>
  <c r="U19" i="3"/>
  <c r="W19" i="3" s="1"/>
  <c r="U8" i="3"/>
  <c r="W8" i="3" s="1"/>
  <c r="U63" i="3"/>
  <c r="W63" i="3" s="1"/>
  <c r="U52" i="3"/>
  <c r="W52" i="3" s="1"/>
  <c r="U41" i="3"/>
  <c r="W41" i="3" s="1"/>
  <c r="U68" i="3"/>
  <c r="W68" i="3" s="1"/>
  <c r="U50" i="3"/>
  <c r="W50" i="3" s="1"/>
  <c r="U27" i="3"/>
  <c r="W27" i="3" s="1"/>
  <c r="U16" i="3"/>
  <c r="W16" i="3" s="1"/>
  <c r="U15" i="3"/>
  <c r="W15" i="3" s="1"/>
  <c r="U25" i="3"/>
  <c r="W25" i="3" s="1"/>
  <c r="U14" i="3"/>
  <c r="W14" i="3" s="1"/>
  <c r="U5" i="3"/>
  <c r="W5" i="3" s="1"/>
  <c r="U24" i="3"/>
  <c r="W24" i="3" s="1"/>
  <c r="U13" i="3"/>
  <c r="W13" i="3" s="1"/>
  <c r="U10" i="3"/>
  <c r="W10" i="3" s="1"/>
  <c r="U60" i="3"/>
  <c r="W60" i="3" s="1"/>
  <c r="U49" i="3"/>
  <c r="W49" i="3" s="1"/>
  <c r="U59" i="3"/>
  <c r="W59" i="3" s="1"/>
  <c r="U48" i="3"/>
  <c r="W48" i="3" s="1"/>
  <c r="K7" i="1"/>
  <c r="L7" i="1" s="1"/>
  <c r="M7" i="1" s="1"/>
  <c r="K6" i="1"/>
  <c r="L6" i="1" s="1"/>
  <c r="M6" i="1" s="1"/>
  <c r="K5" i="1"/>
  <c r="L5" i="1" s="1"/>
  <c r="M5" i="1" s="1"/>
  <c r="K4" i="1"/>
  <c r="L4" i="1" s="1"/>
  <c r="M4" i="1" s="1"/>
  <c r="K17" i="1"/>
  <c r="L17" i="1" s="1"/>
  <c r="M17" i="1" s="1"/>
  <c r="K16" i="1"/>
  <c r="L16" i="1" s="1"/>
  <c r="M16" i="1" s="1"/>
  <c r="K15" i="1"/>
  <c r="L15" i="1" s="1"/>
  <c r="M15" i="1" s="1"/>
  <c r="K23" i="1"/>
  <c r="L23" i="1" s="1"/>
  <c r="M23" i="1" s="1"/>
  <c r="K24" i="1"/>
  <c r="L24" i="1" s="1"/>
  <c r="M24" i="1" s="1"/>
  <c r="K20" i="1"/>
  <c r="L20" i="1" s="1"/>
  <c r="M20" i="1" s="1"/>
  <c r="K21" i="1"/>
  <c r="L21" i="1" s="1"/>
  <c r="M21" i="1" s="1"/>
  <c r="K22" i="1"/>
  <c r="L22" i="1" s="1"/>
  <c r="M22" i="1" s="1"/>
  <c r="K19" i="1"/>
  <c r="L19" i="1" s="1"/>
  <c r="M19" i="1" s="1"/>
  <c r="K18" i="1"/>
  <c r="L18" i="1" s="1"/>
  <c r="M18" i="1" s="1"/>
  <c r="K14" i="1"/>
  <c r="L14" i="1" s="1"/>
  <c r="M14" i="1" s="1"/>
</calcChain>
</file>

<file path=xl/sharedStrings.xml><?xml version="1.0" encoding="utf-8"?>
<sst xmlns="http://schemas.openxmlformats.org/spreadsheetml/2006/main" count="706" uniqueCount="60">
  <si>
    <t>Sample</t>
  </si>
  <si>
    <t>Assay</t>
  </si>
  <si>
    <t>Ct Value</t>
  </si>
  <si>
    <t>CKaboveground</t>
  </si>
  <si>
    <t>1000</t>
  </si>
  <si>
    <t>CKunderground</t>
  </si>
  <si>
    <t>LNaboveground</t>
  </si>
  <si>
    <t>LNunderground</t>
  </si>
  <si>
    <t>5800</t>
  </si>
  <si>
    <t>7700</t>
  </si>
  <si>
    <t>Ref</t>
  </si>
  <si>
    <t>4000</t>
  </si>
  <si>
    <t>4100</t>
  </si>
  <si>
    <t>6500</t>
  </si>
  <si>
    <t>7500</t>
  </si>
  <si>
    <t>0200</t>
  </si>
  <si>
    <t>0300</t>
  </si>
  <si>
    <t>1900</t>
  </si>
  <si>
    <t>deltaCT</t>
    <phoneticPr fontId="1" type="noConversion"/>
  </si>
  <si>
    <t>deltCT</t>
    <phoneticPr fontId="1" type="noConversion"/>
  </si>
  <si>
    <t>deltadletaCT</t>
    <phoneticPr fontId="1" type="noConversion"/>
  </si>
  <si>
    <t>负</t>
    <phoneticPr fontId="1" type="noConversion"/>
  </si>
  <si>
    <t>表达量</t>
    <phoneticPr fontId="1" type="noConversion"/>
  </si>
  <si>
    <t>Sobic.009G136500.1.p</t>
  </si>
  <si>
    <t>Sobic.005G107500.1.p</t>
  </si>
  <si>
    <t>Sobic.008G190200.1.p</t>
  </si>
  <si>
    <t>Sobic.008G180300.1.p</t>
  </si>
  <si>
    <t>Sobic.001G541900.2.p</t>
  </si>
  <si>
    <t>Sobic.001G511000.2.p</t>
  </si>
  <si>
    <t>Sobic.001G275800.1.p</t>
  </si>
  <si>
    <t>Sobic.002G367700.1.p</t>
  </si>
  <si>
    <t>Sobic.003G304000.1.p</t>
  </si>
  <si>
    <t>Sobic.003G304100.1.p</t>
  </si>
  <si>
    <t>地上部分</t>
    <phoneticPr fontId="1" type="noConversion"/>
  </si>
  <si>
    <t>地下部分</t>
    <phoneticPr fontId="1" type="noConversion"/>
  </si>
  <si>
    <t>No.</t>
  </si>
  <si>
    <t>Row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</si>
  <si>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</si>
  <si>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</si>
  <si>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</si>
  <si>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</si>
  <si>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</si>
  <si>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</si>
  <si>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</si>
  <si>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</si>
  <si>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</si>
  <si>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Undetermined</t>
  </si>
  <si>
    <t>delta CT</t>
    <phoneticPr fontId="1" type="noConversion"/>
  </si>
  <si>
    <t>-ddCT</t>
    <phoneticPr fontId="1" type="noConversion"/>
  </si>
  <si>
    <t>地上</t>
    <phoneticPr fontId="1" type="noConversion"/>
  </si>
  <si>
    <t>地下</t>
    <phoneticPr fontId="1" type="noConversion"/>
  </si>
  <si>
    <t>ck地上</t>
    <phoneticPr fontId="1" type="noConversion"/>
  </si>
  <si>
    <t>ln地上</t>
    <phoneticPr fontId="1" type="noConversion"/>
  </si>
  <si>
    <t>ck地下</t>
    <phoneticPr fontId="1" type="noConversion"/>
  </si>
  <si>
    <t>ln地下</t>
    <phoneticPr fontId="1" type="noConversion"/>
  </si>
  <si>
    <t>ck地上</t>
  </si>
  <si>
    <t>ln地上</t>
  </si>
  <si>
    <t>ck地下</t>
  </si>
  <si>
    <t>ln地下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</si>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</sst>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1"/>
      <color rgb="FF000000"/>
      <name val="Calibri"/>
      <family val="2"/>
    </font>
    <font>
      <sz val="12"/>
      <color rgb="FF000000"/>
      <name val="等线"/>
      <family val="4"/>
      <charset val="134"/>
      <scheme val="minor"/>
    </font>
    <font>
      <sz val="12"/>
      <color rgb="FFFF0000"/>
      <name val="等线"/>
      <family val="4"/>
      <charset val="134"/>
      <scheme val="minor"/>
    </font>
    <font>
      <sz val="12"/>
      <color rgb="FFFF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BC2E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/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/>
    <xf numFmtId="0" fontId="4" fillId="6" borderId="0" xfId="0" applyFont="1" applyFill="1" applyAlignment="1">
      <alignment horizontal="center" vertical="center"/>
    </xf>
    <xf numFmtId="0" fontId="5" fillId="0" borderId="0" xfId="0" applyFont="1" applyAlignment="1"/>
    <xf numFmtId="0" fontId="6" fillId="0" borderId="0" xfId="0" applyFont="1" applyAlignment="1">
      <alignment horizontal="center" vertical="center"/>
    </xf>
    <xf numFmtId="0" fontId="6" fillId="0" borderId="0" xfId="0" applyFont="1" applyAlignment="1"/>
    <xf numFmtId="0" fontId="6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0439695"/>
        <c:axId val="1140576623"/>
      </c:barChart>
      <c:catAx>
        <c:axId val="11404396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576623"/>
        <c:crosses val="autoZero"/>
        <c:auto val="1"/>
        <c:lblAlgn val="ctr"/>
        <c:lblOffset val="100"/>
        <c:noMultiLvlLbl val="0"/>
      </c:catAx>
      <c:valAx>
        <c:axId val="1140576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04396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Sheet4!$B$4:$B$68</c:f>
              <c:strCache>
                <c:ptCount val="65"/>
                <c:pt idx="0">
                  <c:v>Sobic.003G304000.1.p</c:v>
                </c:pt>
                <c:pt idx="1">
                  <c:v>Sobic.003G304000.1.p</c:v>
                </c:pt>
                <c:pt idx="2">
                  <c:v>Sobic.003G304000.1.p</c:v>
                </c:pt>
                <c:pt idx="3">
                  <c:v>Sobic.003G304100.1.p</c:v>
                </c:pt>
                <c:pt idx="4">
                  <c:v>Sobic.003G304100.1.p</c:v>
                </c:pt>
                <c:pt idx="5">
                  <c:v>Sobic.003G304100.1.p</c:v>
                </c:pt>
                <c:pt idx="6">
                  <c:v>Sobic.009G136500.1.p</c:v>
                </c:pt>
                <c:pt idx="7">
                  <c:v>Sobic.009G136500.1.p</c:v>
                </c:pt>
                <c:pt idx="8">
                  <c:v>Sobic.009G136500.1.p</c:v>
                </c:pt>
                <c:pt idx="9">
                  <c:v>Sobic.005G107500.1.p</c:v>
                </c:pt>
                <c:pt idx="10">
                  <c:v>Sobic.005G107500.1.p</c:v>
                </c:pt>
                <c:pt idx="11">
                  <c:v>Sobic.005G107500.1.p</c:v>
                </c:pt>
                <c:pt idx="12">
                  <c:v>Sobic.008G190200.1.p</c:v>
                </c:pt>
                <c:pt idx="13">
                  <c:v>Sobic.008G190200.1.p</c:v>
                </c:pt>
                <c:pt idx="14">
                  <c:v>Sobic.008G190200.1.p</c:v>
                </c:pt>
                <c:pt idx="15">
                  <c:v>Sobic.008G180300.1.p</c:v>
                </c:pt>
                <c:pt idx="16">
                  <c:v>Sobic.008G180300.1.p</c:v>
                </c:pt>
                <c:pt idx="17">
                  <c:v>Sobic.008G180300.1.p</c:v>
                </c:pt>
                <c:pt idx="18">
                  <c:v>Sobic.001G541900.2.p</c:v>
                </c:pt>
                <c:pt idx="19">
                  <c:v>Sobic.001G541900.2.p</c:v>
                </c:pt>
                <c:pt idx="20">
                  <c:v>Sobic.001G541900.2.p</c:v>
                </c:pt>
                <c:pt idx="21">
                  <c:v>Sobic.001G511000.2.p</c:v>
                </c:pt>
                <c:pt idx="22">
                  <c:v>Sobic.001G511000.2.p</c:v>
                </c:pt>
                <c:pt idx="23">
                  <c:v>Sobic.001G511000.2.p</c:v>
                </c:pt>
                <c:pt idx="24">
                  <c:v>Sobic.001G275800.1.p</c:v>
                </c:pt>
                <c:pt idx="25">
                  <c:v>Sobic.001G275800.1.p</c:v>
                </c:pt>
                <c:pt idx="26">
                  <c:v>Sobic.001G275800.1.p</c:v>
                </c:pt>
                <c:pt idx="27">
                  <c:v>Sobic.002G367700.1.p</c:v>
                </c:pt>
                <c:pt idx="28">
                  <c:v>Sobic.002G367700.1.p</c:v>
                </c:pt>
                <c:pt idx="29">
                  <c:v>Sobic.002G367700.1.p</c:v>
                </c:pt>
                <c:pt idx="35">
                  <c:v>Sobic.003G304000.1.p</c:v>
                </c:pt>
                <c:pt idx="36">
                  <c:v>Sobic.003G304000.1.p</c:v>
                </c:pt>
                <c:pt idx="37">
                  <c:v>Sobic.003G304000.1.p</c:v>
                </c:pt>
                <c:pt idx="38">
                  <c:v>Sobic.003G304100.1.p</c:v>
                </c:pt>
                <c:pt idx="39">
                  <c:v>Sobic.003G304100.1.p</c:v>
                </c:pt>
                <c:pt idx="40">
                  <c:v>Sobic.003G304100.1.p</c:v>
                </c:pt>
                <c:pt idx="41">
                  <c:v>Sobic.009G136500.1.p</c:v>
                </c:pt>
                <c:pt idx="42">
                  <c:v>Sobic.009G136500.1.p</c:v>
                </c:pt>
                <c:pt idx="43">
                  <c:v>Sobic.009G136500.1.p</c:v>
                </c:pt>
                <c:pt idx="44">
                  <c:v>Sobic.005G107500.1.p</c:v>
                </c:pt>
                <c:pt idx="45">
                  <c:v>Sobic.005G107500.1.p</c:v>
                </c:pt>
                <c:pt idx="46">
                  <c:v>Sobic.005G107500.1.p</c:v>
                </c:pt>
                <c:pt idx="47">
                  <c:v>Sobic.008G190200.1.p</c:v>
                </c:pt>
                <c:pt idx="48">
                  <c:v>Sobic.008G190200.1.p</c:v>
                </c:pt>
                <c:pt idx="49">
                  <c:v>Sobic.008G190200.1.p</c:v>
                </c:pt>
                <c:pt idx="50">
                  <c:v>Sobic.008G180300.1.p</c:v>
                </c:pt>
                <c:pt idx="51">
                  <c:v>Sobic.008G180300.1.p</c:v>
                </c:pt>
                <c:pt idx="52">
                  <c:v>Sobic.008G180300.1.p</c:v>
                </c:pt>
                <c:pt idx="53">
                  <c:v>Sobic.001G541900.2.p</c:v>
                </c:pt>
                <c:pt idx="54">
                  <c:v>Sobic.001G541900.2.p</c:v>
                </c:pt>
                <c:pt idx="55">
                  <c:v>Sobic.001G541900.2.p</c:v>
                </c:pt>
                <c:pt idx="56">
                  <c:v>Sobic.001G511000.2.p</c:v>
                </c:pt>
                <c:pt idx="57">
                  <c:v>Sobic.001G511000.2.p</c:v>
                </c:pt>
                <c:pt idx="58">
                  <c:v>Sobic.001G511000.2.p</c:v>
                </c:pt>
                <c:pt idx="59">
                  <c:v>Sobic.001G275800.1.p</c:v>
                </c:pt>
                <c:pt idx="60">
                  <c:v>Sobic.001G275800.1.p</c:v>
                </c:pt>
                <c:pt idx="61">
                  <c:v>Sobic.001G275800.1.p</c:v>
                </c:pt>
                <c:pt idx="62">
                  <c:v>Sobic.002G367700.1.p</c:v>
                </c:pt>
                <c:pt idx="63">
                  <c:v>Sobic.002G367700.1.p</c:v>
                </c:pt>
                <c:pt idx="64">
                  <c:v>Sobic.002G367700.1.p</c:v>
                </c:pt>
              </c:strCache>
            </c:strRef>
          </c:cat>
          <c:val>
            <c:numRef>
              <c:f>Sheet4!$C$4:$C$68</c:f>
              <c:numCache>
                <c:formatCode>General</c:formatCode>
                <c:ptCount val="65"/>
                <c:pt idx="0">
                  <c:v>0.86793966778781739</c:v>
                </c:pt>
                <c:pt idx="1">
                  <c:v>1.8604694060350997</c:v>
                </c:pt>
                <c:pt idx="2">
                  <c:v>1.2471773794606216</c:v>
                </c:pt>
                <c:pt idx="3">
                  <c:v>0.5778098354339648</c:v>
                </c:pt>
                <c:pt idx="4">
                  <c:v>0.65187473518328687</c:v>
                </c:pt>
                <c:pt idx="5">
                  <c:v>0.73594337241435426</c:v>
                </c:pt>
                <c:pt idx="6">
                  <c:v>0.50440926017218357</c:v>
                </c:pt>
                <c:pt idx="7">
                  <c:v>0.75244950086971718</c:v>
                </c:pt>
                <c:pt idx="8">
                  <c:v>0.49677575382935535</c:v>
                </c:pt>
                <c:pt idx="9">
                  <c:v>1.3320670167016579</c:v>
                </c:pt>
                <c:pt idx="10">
                  <c:v>1.3619433225602189</c:v>
                </c:pt>
                <c:pt idx="11">
                  <c:v>1.3515985113829043</c:v>
                </c:pt>
                <c:pt idx="12">
                  <c:v>0.41255737225043659</c:v>
                </c:pt>
                <c:pt idx="13">
                  <c:v>0.39410901798961967</c:v>
                </c:pt>
                <c:pt idx="14">
                  <c:v>0.41802660414425591</c:v>
                </c:pt>
                <c:pt idx="15">
                  <c:v>1.3963558684821313</c:v>
                </c:pt>
                <c:pt idx="16">
                  <c:v>1.4060682916223499</c:v>
                </c:pt>
                <c:pt idx="17">
                  <c:v>1.3809553428466665</c:v>
                </c:pt>
                <c:pt idx="18">
                  <c:v>2.0772382072102151</c:v>
                </c:pt>
                <c:pt idx="19">
                  <c:v>0.77467692190527704</c:v>
                </c:pt>
                <c:pt idx="20">
                  <c:v>1.4718867448287047</c:v>
                </c:pt>
                <c:pt idx="21">
                  <c:v>1.2480421566191549</c:v>
                </c:pt>
                <c:pt idx="22">
                  <c:v>1.5195737197583501</c:v>
                </c:pt>
                <c:pt idx="23">
                  <c:v>1.5461354005070622</c:v>
                </c:pt>
                <c:pt idx="24">
                  <c:v>0.54</c:v>
                </c:pt>
                <c:pt idx="25">
                  <c:v>0.53911563929434192</c:v>
                </c:pt>
                <c:pt idx="26">
                  <c:v>0.53836878412376243</c:v>
                </c:pt>
                <c:pt idx="27">
                  <c:v>1.2283031493691781</c:v>
                </c:pt>
                <c:pt idx="28">
                  <c:v>1.252375045116193</c:v>
                </c:pt>
                <c:pt idx="29">
                  <c:v>1.1287035887732266</c:v>
                </c:pt>
                <c:pt idx="35">
                  <c:v>22.038596174883001</c:v>
                </c:pt>
                <c:pt idx="36">
                  <c:v>20.687202599259351</c:v>
                </c:pt>
                <c:pt idx="37">
                  <c:v>14.376759905140144</c:v>
                </c:pt>
                <c:pt idx="38">
                  <c:v>0.36644451285516599</c:v>
                </c:pt>
                <c:pt idx="39">
                  <c:v>0.37027438807164009</c:v>
                </c:pt>
                <c:pt idx="40">
                  <c:v>0.33579826159380832</c:v>
                </c:pt>
                <c:pt idx="41">
                  <c:v>0.31050032135021249</c:v>
                </c:pt>
                <c:pt idx="42">
                  <c:v>0.3130937612790467</c:v>
                </c:pt>
                <c:pt idx="43">
                  <c:v>0.35865450729094978</c:v>
                </c:pt>
                <c:pt idx="44">
                  <c:v>1.6490860334214497</c:v>
                </c:pt>
                <c:pt idx="45">
                  <c:v>1.8916781724910054</c:v>
                </c:pt>
                <c:pt idx="46">
                  <c:v>1.8969302956823964</c:v>
                </c:pt>
                <c:pt idx="47">
                  <c:v>2.6622880362571877</c:v>
                </c:pt>
                <c:pt idx="48">
                  <c:v>3.0837090804147635</c:v>
                </c:pt>
                <c:pt idx="49">
                  <c:v>3.1202609040534841</c:v>
                </c:pt>
                <c:pt idx="50">
                  <c:v>1.5386516750647812</c:v>
                </c:pt>
                <c:pt idx="51">
                  <c:v>1.503856246672463</c:v>
                </c:pt>
                <c:pt idx="52">
                  <c:v>1.5688056828373342</c:v>
                </c:pt>
                <c:pt idx="53">
                  <c:v>0.65823135972181612</c:v>
                </c:pt>
                <c:pt idx="54">
                  <c:v>0.36848215703047438</c:v>
                </c:pt>
                <c:pt idx="55">
                  <c:v>0.73136660926141772</c:v>
                </c:pt>
                <c:pt idx="56">
                  <c:v>3.25</c:v>
                </c:pt>
                <c:pt idx="57">
                  <c:v>4.25</c:v>
                </c:pt>
                <c:pt idx="58">
                  <c:v>3.9824787580957</c:v>
                </c:pt>
                <c:pt idx="59">
                  <c:v>3.1480336262753399E-3</c:v>
                </c:pt>
                <c:pt idx="60">
                  <c:v>0.58954206725285585</c:v>
                </c:pt>
                <c:pt idx="61">
                  <c:v>8.4003588062025892E-3</c:v>
                </c:pt>
                <c:pt idx="62">
                  <c:v>1.36</c:v>
                </c:pt>
                <c:pt idx="63">
                  <c:v>1.36</c:v>
                </c:pt>
                <c:pt idx="64">
                  <c:v>1.3867105339490644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3C-984F-8309-FCEC0E08A8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2808031"/>
        <c:axId val="1673408191"/>
      </c:barChart>
      <c:catAx>
        <c:axId val="1672808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3408191"/>
        <c:crosses val="autoZero"/>
        <c:auto val="1"/>
        <c:lblAlgn val="ctr"/>
        <c:lblOffset val="100"/>
        <c:noMultiLvlLbl val="0"/>
      </c:catAx>
      <c:valAx>
        <c:axId val="167340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72808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806450</xdr:colOff>
      <xdr:row>13</xdr:row>
      <xdr:rowOff>158750</xdr:rowOff>
    </xdr:from>
    <xdr:to>
      <xdr:col>13</xdr:col>
      <xdr:colOff>425450</xdr:colOff>
      <xdr:row>27</xdr:row>
      <xdr:rowOff>57150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238FEA-2080-71C2-069A-F1E1AAA77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203199</xdr:colOff>
      <xdr:row>14</xdr:row>
      <xdr:rowOff>196850</xdr:rowOff>
    </xdr:from>
    <xdr:to>
      <xdr:col>14</xdr:col>
      <xdr:colOff>23282</xdr:colOff>
      <xdr:row>36</xdr:row>
      <xdr:rowOff>76200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C39DC8-07AE-D5E7-FBBE-3E79C74381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3679-94E8-F74D-B069-7ACE7FCC2163}">
  <dimension ref="A1:N24"/>
  <sheetViews>
    <sheetView zoomScale="130" zoomScaleNormal="130" workbookViewId="0">
      <selection activeCell="N3" sqref="N3:N12"/>
    </sheetView>
  </sheetViews>
  <sheetFormatPr baseColWidth="10" defaultColWidth="10.83203125" defaultRowHeight="16"/>
  <cols>
    <col min="1" max="1" width="16.83203125" bestFit="1" customWidth="1"/>
    <col min="2" max="2" width="7" bestFit="1" customWidth="1"/>
    <col min="3" max="3" width="9.1640625" bestFit="1" customWidth="1"/>
    <col min="5" max="5" width="16.83203125" bestFit="1" customWidth="1"/>
    <col min="14" max="14" width="21.6640625" bestFit="1" customWidth="1"/>
  </cols>
  <sheetData>
    <row r="1" spans="1:14">
      <c r="A1" t="s">
        <v>0</v>
      </c>
      <c r="B1" t="s">
        <v>1</v>
      </c>
      <c r="C1" t="s">
        <v>2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</row>
    <row r="2" spans="1:14">
      <c r="A2" t="s">
        <v>3</v>
      </c>
      <c r="B2" t="s">
        <v>10</v>
      </c>
      <c r="C2">
        <v>20.861999999999998</v>
      </c>
      <c r="E2" t="s">
        <v>6</v>
      </c>
      <c r="F2" t="s">
        <v>10</v>
      </c>
      <c r="G2">
        <v>19.925000000000001</v>
      </c>
    </row>
    <row r="3" spans="1:14">
      <c r="A3" t="s">
        <v>3</v>
      </c>
      <c r="B3" t="s">
        <v>4</v>
      </c>
      <c r="C3">
        <v>22.742999999999999</v>
      </c>
      <c r="D3">
        <v>20.861999999999998</v>
      </c>
      <c r="E3" t="s">
        <v>6</v>
      </c>
      <c r="F3" t="s">
        <v>4</v>
      </c>
      <c r="G3">
        <v>21.289000000000001</v>
      </c>
      <c r="H3">
        <v>19.925000000000001</v>
      </c>
      <c r="I3">
        <f>C3-D3</f>
        <v>1.8810000000000002</v>
      </c>
      <c r="J3">
        <f>G3-H3</f>
        <v>1.3640000000000008</v>
      </c>
      <c r="K3">
        <f>I3-J3</f>
        <v>0.51699999999999946</v>
      </c>
      <c r="L3">
        <f>K3*-1</f>
        <v>-0.51699999999999946</v>
      </c>
      <c r="M3">
        <f>POWER(2,L3)</f>
        <v>0.69882348592553334</v>
      </c>
      <c r="N3" s="1" t="s">
        <v>28</v>
      </c>
    </row>
    <row r="4" spans="1:14">
      <c r="A4" t="s">
        <v>3</v>
      </c>
      <c r="B4" t="s">
        <v>8</v>
      </c>
      <c r="C4">
        <v>24.204000000000001</v>
      </c>
      <c r="D4">
        <v>20.861999999999998</v>
      </c>
      <c r="E4" t="s">
        <v>6</v>
      </c>
      <c r="F4" t="s">
        <v>8</v>
      </c>
      <c r="G4">
        <v>24.193999999999999</v>
      </c>
      <c r="H4">
        <v>19.925000000000001</v>
      </c>
      <c r="I4">
        <f t="shared" ref="I4:I24" si="0">C4-D4</f>
        <v>3.3420000000000023</v>
      </c>
      <c r="J4">
        <f t="shared" ref="J4:J24" si="1">G4-H4</f>
        <v>4.2689999999999984</v>
      </c>
      <c r="K4">
        <f t="shared" ref="K4:K24" si="2">I4-J4</f>
        <v>-0.92699999999999605</v>
      </c>
      <c r="L4">
        <f t="shared" ref="L4:L24" si="3">K4*-1</f>
        <v>0.92699999999999605</v>
      </c>
      <c r="M4">
        <f t="shared" ref="M4:M24" si="4">POWER(2,L4)</f>
        <v>1.9013182024596311</v>
      </c>
      <c r="N4" s="1" t="s">
        <v>29</v>
      </c>
    </row>
    <row r="5" spans="1:14">
      <c r="A5" t="s">
        <v>3</v>
      </c>
      <c r="B5" t="s">
        <v>9</v>
      </c>
      <c r="C5">
        <v>24.969000000000001</v>
      </c>
      <c r="D5">
        <v>20.861999999999998</v>
      </c>
      <c r="E5" t="s">
        <v>6</v>
      </c>
      <c r="F5" t="s">
        <v>9</v>
      </c>
      <c r="G5">
        <v>23.768000000000001</v>
      </c>
      <c r="H5">
        <v>19.925000000000001</v>
      </c>
      <c r="I5">
        <f t="shared" si="0"/>
        <v>4.1070000000000029</v>
      </c>
      <c r="J5">
        <f t="shared" si="1"/>
        <v>3.843</v>
      </c>
      <c r="K5">
        <f t="shared" si="2"/>
        <v>0.2640000000000029</v>
      </c>
      <c r="L5">
        <f t="shared" si="3"/>
        <v>-0.2640000000000029</v>
      </c>
      <c r="M5">
        <f t="shared" si="4"/>
        <v>0.83277577088054733</v>
      </c>
      <c r="N5" s="1" t="s">
        <v>30</v>
      </c>
    </row>
    <row r="6" spans="1:14">
      <c r="A6" t="s">
        <v>3</v>
      </c>
      <c r="B6" t="s">
        <v>11</v>
      </c>
      <c r="C6">
        <v>32.247</v>
      </c>
      <c r="D6">
        <v>20.861999999999998</v>
      </c>
      <c r="E6" t="s">
        <v>6</v>
      </c>
      <c r="F6" t="s">
        <v>11</v>
      </c>
      <c r="G6">
        <v>30.974</v>
      </c>
      <c r="H6">
        <v>19.925000000000001</v>
      </c>
      <c r="I6">
        <f t="shared" si="0"/>
        <v>11.385000000000002</v>
      </c>
      <c r="J6">
        <f t="shared" si="1"/>
        <v>11.048999999999999</v>
      </c>
      <c r="K6">
        <f t="shared" si="2"/>
        <v>0.33600000000000207</v>
      </c>
      <c r="L6">
        <f t="shared" si="3"/>
        <v>-0.33600000000000207</v>
      </c>
      <c r="M6">
        <f t="shared" si="4"/>
        <v>0.79223481092496806</v>
      </c>
      <c r="N6" s="1" t="s">
        <v>31</v>
      </c>
    </row>
    <row r="7" spans="1:14">
      <c r="A7" t="s">
        <v>3</v>
      </c>
      <c r="B7" t="s">
        <v>12</v>
      </c>
      <c r="C7">
        <v>24.652000000000001</v>
      </c>
      <c r="D7">
        <v>20.861999999999998</v>
      </c>
      <c r="E7" t="s">
        <v>6</v>
      </c>
      <c r="F7" t="s">
        <v>12</v>
      </c>
      <c r="G7">
        <v>24.332999999999998</v>
      </c>
      <c r="H7">
        <v>19.925000000000001</v>
      </c>
      <c r="I7">
        <f t="shared" si="0"/>
        <v>3.7900000000000027</v>
      </c>
      <c r="J7">
        <f t="shared" si="1"/>
        <v>4.4079999999999977</v>
      </c>
      <c r="K7">
        <f t="shared" si="2"/>
        <v>-0.617999999999995</v>
      </c>
      <c r="L7">
        <f t="shared" si="3"/>
        <v>0.617999999999995</v>
      </c>
      <c r="M7">
        <f t="shared" si="4"/>
        <v>1.5347460960008814</v>
      </c>
      <c r="N7" s="1" t="s">
        <v>32</v>
      </c>
    </row>
    <row r="8" spans="1:14">
      <c r="A8" t="s">
        <v>3</v>
      </c>
      <c r="B8" t="s">
        <v>13</v>
      </c>
      <c r="C8">
        <v>25.733000000000001</v>
      </c>
      <c r="D8">
        <v>20.861999999999998</v>
      </c>
      <c r="E8" t="s">
        <v>6</v>
      </c>
      <c r="F8" t="s">
        <v>13</v>
      </c>
      <c r="G8">
        <v>25.599</v>
      </c>
      <c r="H8">
        <v>19.925000000000001</v>
      </c>
      <c r="I8">
        <f t="shared" si="0"/>
        <v>4.8710000000000022</v>
      </c>
      <c r="J8">
        <f t="shared" si="1"/>
        <v>5.6739999999999995</v>
      </c>
      <c r="K8">
        <f t="shared" si="2"/>
        <v>-0.80299999999999727</v>
      </c>
      <c r="L8">
        <f t="shared" si="3"/>
        <v>0.80299999999999727</v>
      </c>
      <c r="M8">
        <f t="shared" si="4"/>
        <v>1.7447254115415136</v>
      </c>
      <c r="N8" s="1" t="s">
        <v>23</v>
      </c>
    </row>
    <row r="9" spans="1:14">
      <c r="A9" t="s">
        <v>3</v>
      </c>
      <c r="B9" t="s">
        <v>14</v>
      </c>
      <c r="C9">
        <v>27.643000000000001</v>
      </c>
      <c r="D9">
        <v>20.861999999999998</v>
      </c>
      <c r="E9" t="s">
        <v>6</v>
      </c>
      <c r="F9" t="s">
        <v>14</v>
      </c>
      <c r="G9">
        <v>26.274999999999999</v>
      </c>
      <c r="H9">
        <v>19.925000000000001</v>
      </c>
      <c r="I9">
        <f t="shared" si="0"/>
        <v>6.7810000000000024</v>
      </c>
      <c r="J9">
        <f t="shared" si="1"/>
        <v>6.3499999999999979</v>
      </c>
      <c r="K9">
        <f t="shared" si="2"/>
        <v>0.43100000000000449</v>
      </c>
      <c r="L9">
        <f t="shared" si="3"/>
        <v>-0.43100000000000449</v>
      </c>
      <c r="M9">
        <f t="shared" si="4"/>
        <v>0.7417474669205586</v>
      </c>
      <c r="N9" s="1" t="s">
        <v>24</v>
      </c>
    </row>
    <row r="10" spans="1:14">
      <c r="A10" t="s">
        <v>3</v>
      </c>
      <c r="B10" t="s">
        <v>15</v>
      </c>
      <c r="C10">
        <v>26.016999999999999</v>
      </c>
      <c r="D10">
        <v>20.861999999999998</v>
      </c>
      <c r="E10" t="s">
        <v>6</v>
      </c>
      <c r="F10" t="s">
        <v>15</v>
      </c>
      <c r="G10">
        <v>26.373000000000001</v>
      </c>
      <c r="H10">
        <v>19.925000000000001</v>
      </c>
      <c r="I10">
        <f t="shared" si="0"/>
        <v>5.1550000000000011</v>
      </c>
      <c r="J10">
        <f t="shared" si="1"/>
        <v>6.4480000000000004</v>
      </c>
      <c r="K10">
        <f t="shared" si="2"/>
        <v>-1.2929999999999993</v>
      </c>
      <c r="L10">
        <f t="shared" si="3"/>
        <v>1.2929999999999993</v>
      </c>
      <c r="M10">
        <f t="shared" si="4"/>
        <v>2.4503706638093505</v>
      </c>
      <c r="N10" s="1" t="s">
        <v>25</v>
      </c>
    </row>
    <row r="11" spans="1:14">
      <c r="A11" t="s">
        <v>3</v>
      </c>
      <c r="B11" t="s">
        <v>16</v>
      </c>
      <c r="C11">
        <v>29.030999999999999</v>
      </c>
      <c r="D11">
        <v>20.861999999999998</v>
      </c>
      <c r="E11" t="s">
        <v>6</v>
      </c>
      <c r="F11" t="s">
        <v>16</v>
      </c>
      <c r="G11">
        <v>27.616</v>
      </c>
      <c r="H11">
        <v>19.925000000000001</v>
      </c>
      <c r="I11">
        <f t="shared" si="0"/>
        <v>8.1690000000000005</v>
      </c>
      <c r="J11">
        <f t="shared" si="1"/>
        <v>7.6909999999999989</v>
      </c>
      <c r="K11">
        <f t="shared" si="2"/>
        <v>0.47800000000000153</v>
      </c>
      <c r="L11">
        <f t="shared" si="3"/>
        <v>-0.47800000000000153</v>
      </c>
      <c r="M11">
        <f t="shared" si="4"/>
        <v>0.71797225531171704</v>
      </c>
      <c r="N11" s="1" t="s">
        <v>26</v>
      </c>
    </row>
    <row r="12" spans="1:14">
      <c r="A12" t="s">
        <v>3</v>
      </c>
      <c r="B12" t="s">
        <v>17</v>
      </c>
      <c r="C12">
        <v>35.003</v>
      </c>
      <c r="D12">
        <v>20.861999999999998</v>
      </c>
      <c r="E12" t="s">
        <v>6</v>
      </c>
      <c r="F12" t="s">
        <v>17</v>
      </c>
      <c r="G12">
        <v>33.652000000000001</v>
      </c>
      <c r="H12">
        <v>19.925000000000001</v>
      </c>
      <c r="I12">
        <f t="shared" si="0"/>
        <v>14.141000000000002</v>
      </c>
      <c r="J12">
        <f t="shared" si="1"/>
        <v>13.727</v>
      </c>
      <c r="K12">
        <f t="shared" si="2"/>
        <v>0.41400000000000148</v>
      </c>
      <c r="L12">
        <f t="shared" si="3"/>
        <v>-0.41400000000000148</v>
      </c>
      <c r="M12">
        <f t="shared" si="4"/>
        <v>0.75053954875718476</v>
      </c>
      <c r="N12" s="1" t="s">
        <v>27</v>
      </c>
    </row>
    <row r="13" spans="1:14">
      <c r="N13" s="1"/>
    </row>
    <row r="14" spans="1:14">
      <c r="A14" t="s">
        <v>5</v>
      </c>
      <c r="B14" t="s">
        <v>10</v>
      </c>
      <c r="C14">
        <v>21.465</v>
      </c>
      <c r="E14" t="s">
        <v>7</v>
      </c>
      <c r="F14" t="s">
        <v>10</v>
      </c>
      <c r="G14">
        <v>19.925999999999998</v>
      </c>
      <c r="I14">
        <f>C14-D14</f>
        <v>21.465</v>
      </c>
      <c r="J14">
        <f>G14-H14</f>
        <v>19.925999999999998</v>
      </c>
      <c r="K14">
        <f>I14-J14</f>
        <v>1.5390000000000015</v>
      </c>
      <c r="L14">
        <f>K14*-1</f>
        <v>-1.5390000000000015</v>
      </c>
      <c r="M14">
        <f>POWER(2,L14)</f>
        <v>0.34412390039767399</v>
      </c>
    </row>
    <row r="15" spans="1:14">
      <c r="A15" t="s">
        <v>5</v>
      </c>
      <c r="B15" t="s">
        <v>4</v>
      </c>
      <c r="C15">
        <v>27.446999999999999</v>
      </c>
      <c r="D15">
        <v>21.465</v>
      </c>
      <c r="E15" t="s">
        <v>7</v>
      </c>
      <c r="F15" t="s">
        <v>4</v>
      </c>
      <c r="G15">
        <v>23.952000000000002</v>
      </c>
      <c r="H15">
        <v>19.925999999999998</v>
      </c>
      <c r="I15">
        <f t="shared" si="0"/>
        <v>5.9819999999999993</v>
      </c>
      <c r="J15">
        <f t="shared" si="1"/>
        <v>4.0260000000000034</v>
      </c>
      <c r="K15">
        <f t="shared" si="2"/>
        <v>1.955999999999996</v>
      </c>
      <c r="L15">
        <f t="shared" si="3"/>
        <v>-1.955999999999996</v>
      </c>
      <c r="M15">
        <f t="shared" si="4"/>
        <v>0.25774207969869789</v>
      </c>
      <c r="N15" s="1" t="s">
        <v>28</v>
      </c>
    </row>
    <row r="16" spans="1:14">
      <c r="A16" t="s">
        <v>5</v>
      </c>
      <c r="B16" t="s">
        <v>8</v>
      </c>
      <c r="C16">
        <v>25.154</v>
      </c>
      <c r="D16">
        <v>21.465</v>
      </c>
      <c r="E16" t="s">
        <v>7</v>
      </c>
      <c r="F16" t="s">
        <v>8</v>
      </c>
      <c r="G16">
        <v>28.939</v>
      </c>
      <c r="H16">
        <v>19.925999999999998</v>
      </c>
      <c r="I16">
        <f t="shared" si="0"/>
        <v>3.6890000000000001</v>
      </c>
      <c r="J16">
        <f t="shared" si="1"/>
        <v>9.0130000000000017</v>
      </c>
      <c r="K16">
        <f t="shared" si="2"/>
        <v>-5.3240000000000016</v>
      </c>
      <c r="L16">
        <f t="shared" si="3"/>
        <v>5.3240000000000016</v>
      </c>
      <c r="M16">
        <f t="shared" si="4"/>
        <v>40.057486676927851</v>
      </c>
      <c r="N16" s="1" t="s">
        <v>29</v>
      </c>
    </row>
    <row r="17" spans="1:14">
      <c r="A17" t="s">
        <v>5</v>
      </c>
      <c r="B17" t="s">
        <v>9</v>
      </c>
      <c r="C17">
        <v>24.364999999999998</v>
      </c>
      <c r="D17">
        <v>21.465</v>
      </c>
      <c r="E17" t="s">
        <v>7</v>
      </c>
      <c r="F17" t="s">
        <v>9</v>
      </c>
      <c r="G17">
        <v>23.914999999999999</v>
      </c>
      <c r="H17">
        <v>19.925999999999998</v>
      </c>
      <c r="I17">
        <f t="shared" si="0"/>
        <v>2.8999999999999986</v>
      </c>
      <c r="J17">
        <f t="shared" si="1"/>
        <v>3.9890000000000008</v>
      </c>
      <c r="K17">
        <f t="shared" si="2"/>
        <v>-1.0890000000000022</v>
      </c>
      <c r="L17">
        <f t="shared" si="3"/>
        <v>1.0890000000000022</v>
      </c>
      <c r="M17">
        <f t="shared" si="4"/>
        <v>2.1272653457863724</v>
      </c>
      <c r="N17" s="1" t="s">
        <v>30</v>
      </c>
    </row>
    <row r="18" spans="1:14">
      <c r="A18" t="s">
        <v>5</v>
      </c>
      <c r="B18" t="s">
        <v>11</v>
      </c>
      <c r="C18">
        <v>34.387</v>
      </c>
      <c r="D18">
        <v>21.465</v>
      </c>
      <c r="E18" t="s">
        <v>7</v>
      </c>
      <c r="F18" t="s">
        <v>11</v>
      </c>
      <c r="G18">
        <v>27.512</v>
      </c>
      <c r="H18">
        <v>19.925999999999998</v>
      </c>
      <c r="I18">
        <f t="shared" si="0"/>
        <v>12.922000000000001</v>
      </c>
      <c r="J18">
        <f t="shared" si="1"/>
        <v>7.5860000000000021</v>
      </c>
      <c r="K18">
        <f t="shared" si="2"/>
        <v>5.3359999999999985</v>
      </c>
      <c r="L18">
        <f t="shared" si="3"/>
        <v>-5.3359999999999985</v>
      </c>
      <c r="M18">
        <f t="shared" si="4"/>
        <v>2.4757337841405307E-2</v>
      </c>
      <c r="N18" s="1" t="s">
        <v>31</v>
      </c>
    </row>
    <row r="19" spans="1:14">
      <c r="A19" t="s">
        <v>5</v>
      </c>
      <c r="B19" t="s">
        <v>12</v>
      </c>
      <c r="C19">
        <v>24.56</v>
      </c>
      <c r="D19">
        <v>21.465</v>
      </c>
      <c r="E19" t="s">
        <v>7</v>
      </c>
      <c r="F19" t="s">
        <v>12</v>
      </c>
      <c r="G19">
        <v>24.507000000000001</v>
      </c>
      <c r="H19">
        <v>19.925999999999998</v>
      </c>
      <c r="I19">
        <f t="shared" si="0"/>
        <v>3.0949999999999989</v>
      </c>
      <c r="J19">
        <f t="shared" si="1"/>
        <v>4.5810000000000031</v>
      </c>
      <c r="K19">
        <f t="shared" si="2"/>
        <v>-1.4860000000000042</v>
      </c>
      <c r="L19">
        <f t="shared" si="3"/>
        <v>1.4860000000000042</v>
      </c>
      <c r="M19">
        <f t="shared" si="4"/>
        <v>2.8011126417744174</v>
      </c>
      <c r="N19" s="1" t="s">
        <v>32</v>
      </c>
    </row>
    <row r="20" spans="1:14">
      <c r="A20" t="s">
        <v>5</v>
      </c>
      <c r="B20" t="s">
        <v>13</v>
      </c>
      <c r="C20">
        <v>25.683</v>
      </c>
      <c r="D20">
        <v>21.465</v>
      </c>
      <c r="E20" t="s">
        <v>7</v>
      </c>
      <c r="F20" t="s">
        <v>13</v>
      </c>
      <c r="G20">
        <v>25.759</v>
      </c>
      <c r="H20">
        <v>19.925999999999998</v>
      </c>
      <c r="I20">
        <f t="shared" si="0"/>
        <v>4.218</v>
      </c>
      <c r="J20">
        <f t="shared" si="1"/>
        <v>5.833000000000002</v>
      </c>
      <c r="K20">
        <f t="shared" si="2"/>
        <v>-1.615000000000002</v>
      </c>
      <c r="L20">
        <f t="shared" si="3"/>
        <v>1.615000000000002</v>
      </c>
      <c r="M20">
        <f t="shared" si="4"/>
        <v>3.0631159941887702</v>
      </c>
      <c r="N20" s="1" t="s">
        <v>23</v>
      </c>
    </row>
    <row r="21" spans="1:14">
      <c r="A21" t="s">
        <v>5</v>
      </c>
      <c r="B21" t="s">
        <v>14</v>
      </c>
      <c r="C21">
        <v>26.759</v>
      </c>
      <c r="D21">
        <v>21.465</v>
      </c>
      <c r="E21" t="s">
        <v>7</v>
      </c>
      <c r="F21" t="s">
        <v>14</v>
      </c>
      <c r="G21">
        <v>24.364999999999998</v>
      </c>
      <c r="H21">
        <v>19.925999999999998</v>
      </c>
      <c r="I21">
        <f t="shared" si="0"/>
        <v>5.2940000000000005</v>
      </c>
      <c r="J21">
        <f t="shared" si="1"/>
        <v>4.4390000000000001</v>
      </c>
      <c r="K21">
        <f t="shared" si="2"/>
        <v>0.85500000000000043</v>
      </c>
      <c r="L21">
        <f t="shared" si="3"/>
        <v>-0.85500000000000043</v>
      </c>
      <c r="M21">
        <f t="shared" si="4"/>
        <v>0.55286532666013422</v>
      </c>
      <c r="N21" s="1" t="s">
        <v>24</v>
      </c>
    </row>
    <row r="22" spans="1:14">
      <c r="A22" t="s">
        <v>5</v>
      </c>
      <c r="B22" t="s">
        <v>15</v>
      </c>
      <c r="C22">
        <v>29.466999999999999</v>
      </c>
      <c r="D22">
        <v>21.465</v>
      </c>
      <c r="E22" t="s">
        <v>7</v>
      </c>
      <c r="F22" t="s">
        <v>15</v>
      </c>
      <c r="G22">
        <v>26.369</v>
      </c>
      <c r="H22">
        <v>19.925999999999998</v>
      </c>
      <c r="I22">
        <f t="shared" si="0"/>
        <v>8.0019999999999989</v>
      </c>
      <c r="J22">
        <f t="shared" si="1"/>
        <v>6.4430000000000014</v>
      </c>
      <c r="K22">
        <f t="shared" si="2"/>
        <v>1.5589999999999975</v>
      </c>
      <c r="L22">
        <f t="shared" si="3"/>
        <v>-1.5589999999999975</v>
      </c>
      <c r="M22">
        <f t="shared" si="4"/>
        <v>0.33938624497000225</v>
      </c>
      <c r="N22" s="1" t="s">
        <v>25</v>
      </c>
    </row>
    <row r="23" spans="1:14">
      <c r="A23" t="s">
        <v>5</v>
      </c>
      <c r="B23" t="s">
        <v>16</v>
      </c>
      <c r="C23">
        <v>29.376999999999999</v>
      </c>
      <c r="D23">
        <v>21.465</v>
      </c>
      <c r="E23" t="s">
        <v>7</v>
      </c>
      <c r="F23" t="s">
        <v>16</v>
      </c>
      <c r="G23">
        <v>27.219000000000001</v>
      </c>
      <c r="H23">
        <v>19.925999999999998</v>
      </c>
      <c r="I23">
        <f t="shared" si="0"/>
        <v>7.911999999999999</v>
      </c>
      <c r="J23">
        <f t="shared" si="1"/>
        <v>7.2930000000000028</v>
      </c>
      <c r="K23">
        <f t="shared" si="2"/>
        <v>0.61899999999999622</v>
      </c>
      <c r="L23">
        <f t="shared" si="3"/>
        <v>-0.61899999999999622</v>
      </c>
      <c r="M23">
        <f t="shared" si="4"/>
        <v>0.65112209478451588</v>
      </c>
      <c r="N23" s="1" t="s">
        <v>26</v>
      </c>
    </row>
    <row r="24" spans="1:14">
      <c r="A24" t="s">
        <v>5</v>
      </c>
      <c r="B24" t="s">
        <v>17</v>
      </c>
      <c r="C24">
        <v>34.082999999999998</v>
      </c>
      <c r="D24">
        <v>21.465</v>
      </c>
      <c r="E24" t="s">
        <v>7</v>
      </c>
      <c r="F24" t="s">
        <v>17</v>
      </c>
      <c r="G24">
        <v>33.375999999999998</v>
      </c>
      <c r="H24">
        <v>19.925999999999998</v>
      </c>
      <c r="I24">
        <f t="shared" si="0"/>
        <v>12.617999999999999</v>
      </c>
      <c r="J24">
        <f t="shared" si="1"/>
        <v>13.45</v>
      </c>
      <c r="K24">
        <f t="shared" si="2"/>
        <v>-0.83200000000000074</v>
      </c>
      <c r="L24">
        <f t="shared" si="3"/>
        <v>0.83200000000000074</v>
      </c>
      <c r="M24">
        <f t="shared" si="4"/>
        <v>1.7801514665049936</v>
      </c>
      <c r="N24" s="1" t="s">
        <v>27</v>
      </c>
    </row>
  </sheetData>
  <sortState xmlns:xlrd2="http://schemas.microsoft.com/office/spreadsheetml/2017/richdata2" ref="A2:C46">
    <sortCondition ref="A3:A46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4ABE-DAC8-274A-AFC5-9D1CB54AAA07}">
  <dimension ref="A3:C25"/>
  <sheetViews>
    <sheetView workbookViewId="0">
      <selection activeCell="G13" sqref="G12:G13"/>
    </sheetView>
  </sheetViews>
  <sheetFormatPr baseColWidth="10" defaultColWidth="10.83203125" defaultRowHeight="16"/>
  <cols>
    <col min="1" max="1" width="13" bestFit="1" customWidth="1"/>
    <col min="2" max="2" width="21.6640625" bestFit="1" customWidth="1"/>
    <col min="3" max="3" width="13" bestFit="1" customWidth="1"/>
  </cols>
  <sheetData>
    <row r="3" spans="1:3">
      <c r="C3" t="s">
        <v>22</v>
      </c>
    </row>
    <row r="4" spans="1:3">
      <c r="A4" s="16" t="s">
        <v>33</v>
      </c>
      <c r="B4" t="s">
        <v>28</v>
      </c>
      <c r="C4">
        <v>0.69882348592553334</v>
      </c>
    </row>
    <row r="5" spans="1:3">
      <c r="A5" s="16"/>
      <c r="B5" t="s">
        <v>29</v>
      </c>
      <c r="C5">
        <v>1.9013182024596311</v>
      </c>
    </row>
    <row r="6" spans="1:3">
      <c r="A6" s="16"/>
      <c r="B6" t="s">
        <v>30</v>
      </c>
      <c r="C6">
        <v>0.83277577088054733</v>
      </c>
    </row>
    <row r="7" spans="1:3">
      <c r="A7" s="16"/>
      <c r="B7" t="s">
        <v>31</v>
      </c>
      <c r="C7">
        <v>0.79223481092496806</v>
      </c>
    </row>
    <row r="8" spans="1:3">
      <c r="A8" s="16"/>
      <c r="B8" t="s">
        <v>32</v>
      </c>
      <c r="C8">
        <v>1.5347460960008814</v>
      </c>
    </row>
    <row r="9" spans="1:3">
      <c r="A9" s="16"/>
      <c r="B9" t="s">
        <v>23</v>
      </c>
      <c r="C9">
        <v>1.7447254115415136</v>
      </c>
    </row>
    <row r="10" spans="1:3">
      <c r="A10" s="16"/>
      <c r="B10" t="s">
        <v>24</v>
      </c>
      <c r="C10">
        <v>0.7417474669205586</v>
      </c>
    </row>
    <row r="11" spans="1:3">
      <c r="A11" s="16"/>
      <c r="B11" t="s">
        <v>25</v>
      </c>
      <c r="C11">
        <v>2.4503706638093505</v>
      </c>
    </row>
    <row r="12" spans="1:3">
      <c r="A12" s="16"/>
      <c r="B12" t="s">
        <v>26</v>
      </c>
      <c r="C12">
        <v>0.71797225531171704</v>
      </c>
    </row>
    <row r="13" spans="1:3">
      <c r="A13" s="16"/>
      <c r="B13" t="s">
        <v>27</v>
      </c>
      <c r="C13">
        <v>0.75053954875718476</v>
      </c>
    </row>
    <row r="15" spans="1:3">
      <c r="C15">
        <v>0.34412390039767399</v>
      </c>
    </row>
    <row r="16" spans="1:3">
      <c r="A16" s="16" t="s">
        <v>34</v>
      </c>
      <c r="B16" t="s">
        <v>28</v>
      </c>
      <c r="C16">
        <v>0.25774207969869789</v>
      </c>
    </row>
    <row r="17" spans="1:3">
      <c r="A17" s="16"/>
      <c r="B17" t="s">
        <v>29</v>
      </c>
      <c r="C17">
        <v>40.057486676927851</v>
      </c>
    </row>
    <row r="18" spans="1:3">
      <c r="A18" s="16"/>
      <c r="B18" t="s">
        <v>30</v>
      </c>
      <c r="C18">
        <v>2.1272653457863724</v>
      </c>
    </row>
    <row r="19" spans="1:3">
      <c r="A19" s="16"/>
      <c r="B19" t="s">
        <v>31</v>
      </c>
      <c r="C19">
        <v>2.4757337841405307E-2</v>
      </c>
    </row>
    <row r="20" spans="1:3">
      <c r="A20" s="16"/>
      <c r="B20" t="s">
        <v>32</v>
      </c>
      <c r="C20">
        <v>2.8011126417744174</v>
      </c>
    </row>
    <row r="21" spans="1:3">
      <c r="A21" s="16"/>
      <c r="B21" t="s">
        <v>23</v>
      </c>
      <c r="C21">
        <v>3.0631159941887702</v>
      </c>
    </row>
    <row r="22" spans="1:3">
      <c r="A22" s="16"/>
      <c r="B22" t="s">
        <v>24</v>
      </c>
      <c r="C22">
        <v>0.55286532666013422</v>
      </c>
    </row>
    <row r="23" spans="1:3">
      <c r="A23" s="16"/>
      <c r="B23" t="s">
        <v>25</v>
      </c>
      <c r="C23">
        <v>0.33938624497000225</v>
      </c>
    </row>
    <row r="24" spans="1:3">
      <c r="A24" s="16"/>
      <c r="B24" t="s">
        <v>26</v>
      </c>
      <c r="C24">
        <v>0.65112209478451588</v>
      </c>
    </row>
    <row r="25" spans="1:3">
      <c r="A25" s="16"/>
      <c r="B25" t="s">
        <v>27</v>
      </c>
      <c r="C25">
        <v>1.7801514665049936</v>
      </c>
    </row>
  </sheetData>
  <mergeCells count="2">
    <mergeCell ref="A4:A13"/>
    <mergeCell ref="A16:A2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3A407-2996-5E4A-A739-A610269FA1FB}">
  <dimension ref="A1:Z69"/>
  <sheetViews>
    <sheetView topLeftCell="L16" zoomScale="104" workbookViewId="0">
      <selection activeCell="Y25" sqref="Y25:Z25"/>
    </sheetView>
  </sheetViews>
  <sheetFormatPr baseColWidth="10" defaultColWidth="5" defaultRowHeight="16"/>
  <cols>
    <col min="1" max="1" width="4.6640625" style="2" bestFit="1" customWidth="1"/>
    <col min="2" max="2" width="5.33203125" style="2" bestFit="1" customWidth="1"/>
    <col min="3" max="3" width="4.5" style="2" bestFit="1" customWidth="1"/>
    <col min="4" max="4" width="16.83203125" style="2" bestFit="1" customWidth="1"/>
    <col min="5" max="5" width="6.5" style="2" bestFit="1" customWidth="1"/>
    <col min="6" max="6" width="14.83203125" style="2" bestFit="1" customWidth="1"/>
    <col min="7" max="7" width="8.6640625" style="2" bestFit="1" customWidth="1"/>
    <col min="8" max="8" width="5" style="2"/>
    <col min="9" max="9" width="4" style="2" bestFit="1" customWidth="1"/>
    <col min="10" max="10" width="5" style="2"/>
    <col min="11" max="11" width="4.1640625" style="2" bestFit="1" customWidth="1"/>
    <col min="12" max="12" width="16.83203125" style="2" bestFit="1" customWidth="1"/>
    <col min="13" max="13" width="6.5" style="2" bestFit="1" customWidth="1"/>
    <col min="14" max="14" width="14.83203125" style="2" bestFit="1" customWidth="1"/>
    <col min="15" max="15" width="14.33203125" style="2" bestFit="1" customWidth="1"/>
    <col min="16" max="16" width="5" style="2"/>
    <col min="17" max="17" width="13.83203125" style="2" customWidth="1"/>
    <col min="18" max="18" width="5" style="2"/>
    <col min="19" max="19" width="9.5" style="2" bestFit="1" customWidth="1"/>
    <col min="20" max="20" width="5" style="2"/>
    <col min="21" max="21" width="11.83203125" style="2" customWidth="1"/>
    <col min="22" max="22" width="5" style="2"/>
    <col min="23" max="23" width="18.1640625" style="2" customWidth="1"/>
    <col min="24" max="24" width="22.83203125" style="2" bestFit="1" customWidth="1"/>
    <col min="25" max="25" width="19.83203125" style="2" customWidth="1"/>
    <col min="26" max="26" width="22.83203125" style="2" bestFit="1" customWidth="1"/>
    <col min="27" max="16384" width="5" style="2"/>
  </cols>
  <sheetData>
    <row r="1" spans="1:26">
      <c r="A1" s="3" t="s">
        <v>35</v>
      </c>
      <c r="B1" s="3" t="s">
        <v>36</v>
      </c>
      <c r="C1" s="3" t="s">
        <v>37</v>
      </c>
      <c r="D1" s="3" t="s">
        <v>0</v>
      </c>
      <c r="E1" s="3" t="s">
        <v>1</v>
      </c>
      <c r="F1" s="3" t="s">
        <v>2</v>
      </c>
      <c r="Q1" s="2" t="s">
        <v>18</v>
      </c>
      <c r="S1" s="2" t="s">
        <v>47</v>
      </c>
      <c r="U1" s="4" t="s">
        <v>48</v>
      </c>
    </row>
    <row r="2" spans="1:26">
      <c r="A2" s="3">
        <v>1</v>
      </c>
      <c r="B2" s="3" t="s">
        <v>38</v>
      </c>
      <c r="C2" s="2">
        <v>1</v>
      </c>
      <c r="D2" s="2" t="s">
        <v>3</v>
      </c>
      <c r="E2" s="2" t="s">
        <v>10</v>
      </c>
      <c r="F2" s="2">
        <v>20.827000000000002</v>
      </c>
      <c r="I2" s="3">
        <v>7</v>
      </c>
      <c r="J2" s="3" t="s">
        <v>38</v>
      </c>
      <c r="K2" s="2">
        <v>7</v>
      </c>
      <c r="L2" s="2" t="s">
        <v>6</v>
      </c>
      <c r="M2" s="2" t="s">
        <v>10</v>
      </c>
      <c r="N2" s="2">
        <v>20.018000000000001</v>
      </c>
      <c r="Y2" s="7" t="s">
        <v>51</v>
      </c>
      <c r="Z2" s="7" t="s">
        <v>52</v>
      </c>
    </row>
    <row r="3" spans="1:26">
      <c r="A3" s="3">
        <v>2</v>
      </c>
      <c r="B3" s="3" t="s">
        <v>38</v>
      </c>
      <c r="C3" s="2">
        <v>2</v>
      </c>
      <c r="D3" s="2" t="s">
        <v>3</v>
      </c>
      <c r="E3" s="2" t="s">
        <v>10</v>
      </c>
      <c r="F3" s="2">
        <v>20.885000000000002</v>
      </c>
      <c r="I3" s="3">
        <v>8</v>
      </c>
      <c r="J3" s="3" t="s">
        <v>38</v>
      </c>
      <c r="K3" s="2">
        <v>8</v>
      </c>
      <c r="L3" s="2" t="s">
        <v>6</v>
      </c>
      <c r="M3" s="2" t="s">
        <v>10</v>
      </c>
      <c r="N3" s="2">
        <v>19.867000000000001</v>
      </c>
      <c r="Y3" s="7"/>
      <c r="Z3" s="7"/>
    </row>
    <row r="4" spans="1:26">
      <c r="A4" s="3">
        <v>3</v>
      </c>
      <c r="B4" s="3" t="s">
        <v>38</v>
      </c>
      <c r="C4" s="2">
        <v>3</v>
      </c>
      <c r="D4" s="2" t="s">
        <v>3</v>
      </c>
      <c r="E4" s="2" t="s">
        <v>10</v>
      </c>
      <c r="F4" s="2">
        <v>20.873999999999999</v>
      </c>
      <c r="G4" s="2">
        <f>AVERAGE(F2:F4)</f>
        <v>20.861999999999998</v>
      </c>
      <c r="I4" s="3">
        <v>9</v>
      </c>
      <c r="J4" s="3" t="s">
        <v>38</v>
      </c>
      <c r="K4" s="2">
        <v>9</v>
      </c>
      <c r="L4" s="2" t="s">
        <v>6</v>
      </c>
      <c r="M4" s="2" t="s">
        <v>10</v>
      </c>
      <c r="N4" s="2">
        <v>19.891999999999999</v>
      </c>
      <c r="O4" s="2">
        <f>AVERAGE(N2:N4)</f>
        <v>19.925666666666668</v>
      </c>
      <c r="Y4" s="7"/>
      <c r="Z4" s="7"/>
    </row>
    <row r="5" spans="1:26">
      <c r="A5" s="3">
        <v>13</v>
      </c>
      <c r="B5" s="3" t="s">
        <v>39</v>
      </c>
      <c r="C5" s="2">
        <v>1</v>
      </c>
      <c r="D5" s="2" t="s">
        <v>3</v>
      </c>
      <c r="E5" s="2" t="s">
        <v>11</v>
      </c>
      <c r="F5" s="2">
        <v>32.238</v>
      </c>
      <c r="G5" s="2">
        <v>20.861999999999998</v>
      </c>
      <c r="I5" s="3">
        <v>19</v>
      </c>
      <c r="J5" s="3" t="s">
        <v>39</v>
      </c>
      <c r="K5" s="2">
        <v>7</v>
      </c>
      <c r="L5" s="2" t="s">
        <v>6</v>
      </c>
      <c r="M5" s="2" t="s">
        <v>11</v>
      </c>
      <c r="N5" s="2">
        <v>31.506</v>
      </c>
      <c r="O5" s="2">
        <v>19.925666666666668</v>
      </c>
      <c r="Q5" s="2">
        <f>F5-G5</f>
        <v>11.376000000000001</v>
      </c>
      <c r="S5" s="2">
        <f>N5-O5</f>
        <v>11.580333333333332</v>
      </c>
      <c r="U5" s="2">
        <f>Q5-S5</f>
        <v>-0.20433333333333081</v>
      </c>
      <c r="W5" s="2">
        <f>POWER(2,U5)</f>
        <v>0.86793966778781739</v>
      </c>
      <c r="X5" s="1" t="s">
        <v>31</v>
      </c>
      <c r="Y5" s="7">
        <v>3.7625542400312876E-4</v>
      </c>
      <c r="Z5" s="7">
        <v>3.2656700771263993E-4</v>
      </c>
    </row>
    <row r="6" spans="1:26">
      <c r="A6" s="3">
        <v>14</v>
      </c>
      <c r="B6" s="3" t="s">
        <v>39</v>
      </c>
      <c r="C6" s="2">
        <v>2</v>
      </c>
      <c r="D6" s="2" t="s">
        <v>3</v>
      </c>
      <c r="E6" s="2" t="s">
        <v>11</v>
      </c>
      <c r="F6" s="2">
        <v>32.369</v>
      </c>
      <c r="G6" s="2">
        <v>20.861999999999998</v>
      </c>
      <c r="I6" s="3">
        <v>20</v>
      </c>
      <c r="J6" s="3" t="s">
        <v>39</v>
      </c>
      <c r="K6" s="2">
        <v>8</v>
      </c>
      <c r="L6" s="2" t="s">
        <v>6</v>
      </c>
      <c r="M6" s="2" t="s">
        <v>11</v>
      </c>
      <c r="N6" s="2">
        <v>30.536999999999999</v>
      </c>
      <c r="O6" s="2">
        <v>19.925666666666668</v>
      </c>
      <c r="Q6" s="2">
        <f t="shared" ref="Q6:Q69" si="0">F6-G6</f>
        <v>11.507000000000001</v>
      </c>
      <c r="S6" s="2">
        <f t="shared" ref="S6:S69" si="1">N6-O6</f>
        <v>10.611333333333331</v>
      </c>
      <c r="U6" s="2">
        <f t="shared" ref="U6:U69" si="2">Q6-S6</f>
        <v>0.89566666666667061</v>
      </c>
      <c r="W6" s="2">
        <f t="shared" ref="W6:W69" si="3">POWER(2,U6)</f>
        <v>1.8604694060350997</v>
      </c>
      <c r="X6" s="1" t="s">
        <v>31</v>
      </c>
      <c r="Y6" s="7">
        <v>3.4359579475717699E-4</v>
      </c>
      <c r="Z6" s="7">
        <v>6.3924946418804308E-4</v>
      </c>
    </row>
    <row r="7" spans="1:26">
      <c r="A7" s="3">
        <v>15</v>
      </c>
      <c r="B7" s="3" t="s">
        <v>39</v>
      </c>
      <c r="C7" s="2">
        <v>3</v>
      </c>
      <c r="D7" s="2" t="s">
        <v>3</v>
      </c>
      <c r="E7" s="2" t="s">
        <v>11</v>
      </c>
      <c r="F7" s="2">
        <v>32.134</v>
      </c>
      <c r="G7" s="2">
        <v>20.861999999999998</v>
      </c>
      <c r="I7" s="3">
        <v>21</v>
      </c>
      <c r="J7" s="3" t="s">
        <v>39</v>
      </c>
      <c r="K7" s="2">
        <v>9</v>
      </c>
      <c r="L7" s="2" t="s">
        <v>6</v>
      </c>
      <c r="M7" s="2" t="s">
        <v>11</v>
      </c>
      <c r="N7" s="2">
        <v>30.879000000000001</v>
      </c>
      <c r="O7" s="2">
        <v>19.925666666666668</v>
      </c>
      <c r="Q7" s="2">
        <f t="shared" si="0"/>
        <v>11.272000000000002</v>
      </c>
      <c r="S7" s="2">
        <f t="shared" si="1"/>
        <v>10.953333333333333</v>
      </c>
      <c r="U7" s="2">
        <f t="shared" si="2"/>
        <v>0.31866666666666887</v>
      </c>
      <c r="W7" s="2">
        <f t="shared" si="3"/>
        <v>1.2471773794606216</v>
      </c>
      <c r="X7" s="1" t="s">
        <v>31</v>
      </c>
      <c r="Y7" s="7">
        <v>4.0438020572975829E-4</v>
      </c>
      <c r="Z7" s="7">
        <v>5.0433384528778696E-4</v>
      </c>
    </row>
    <row r="8" spans="1:26">
      <c r="A8" s="3">
        <v>25</v>
      </c>
      <c r="B8" s="3" t="s">
        <v>40</v>
      </c>
      <c r="C8" s="2">
        <v>1</v>
      </c>
      <c r="D8" s="2" t="s">
        <v>3</v>
      </c>
      <c r="E8" s="2" t="s">
        <v>12</v>
      </c>
      <c r="F8" s="2">
        <v>24.558</v>
      </c>
      <c r="G8" s="2">
        <v>20.861999999999998</v>
      </c>
      <c r="I8" s="3">
        <v>31</v>
      </c>
      <c r="J8" s="3" t="s">
        <v>40</v>
      </c>
      <c r="K8" s="2">
        <v>7</v>
      </c>
      <c r="L8" s="2" t="s">
        <v>6</v>
      </c>
      <c r="M8" s="2" t="s">
        <v>12</v>
      </c>
      <c r="N8" s="2">
        <v>24.413</v>
      </c>
      <c r="O8" s="2">
        <v>19.925666666666668</v>
      </c>
      <c r="Q8" s="2">
        <f t="shared" si="0"/>
        <v>3.6960000000000015</v>
      </c>
      <c r="S8" s="2">
        <f t="shared" si="1"/>
        <v>4.4873333333333321</v>
      </c>
      <c r="U8" s="2">
        <f t="shared" si="2"/>
        <v>-0.79133333333333056</v>
      </c>
      <c r="W8" s="2">
        <f t="shared" si="3"/>
        <v>0.5778098354339648</v>
      </c>
      <c r="X8" s="1" t="s">
        <v>32</v>
      </c>
      <c r="Y8" s="7">
        <v>7.7160162930846071E-2</v>
      </c>
      <c r="Z8" s="7">
        <v>4.4583901045130069E-2</v>
      </c>
    </row>
    <row r="9" spans="1:26">
      <c r="A9" s="3">
        <v>26</v>
      </c>
      <c r="B9" s="3" t="s">
        <v>40</v>
      </c>
      <c r="C9" s="2">
        <v>2</v>
      </c>
      <c r="D9" s="2" t="s">
        <v>3</v>
      </c>
      <c r="E9" s="2" t="s">
        <v>12</v>
      </c>
      <c r="F9" s="2">
        <v>24.542000000000002</v>
      </c>
      <c r="G9" s="2">
        <v>20.861999999999998</v>
      </c>
      <c r="I9" s="3">
        <v>32</v>
      </c>
      <c r="J9" s="3" t="s">
        <v>40</v>
      </c>
      <c r="K9" s="2">
        <v>8</v>
      </c>
      <c r="L9" s="2" t="s">
        <v>6</v>
      </c>
      <c r="M9" s="2" t="s">
        <v>12</v>
      </c>
      <c r="N9" s="2">
        <v>24.222999999999999</v>
      </c>
      <c r="O9" s="2">
        <v>19.925666666666668</v>
      </c>
      <c r="Q9" s="2">
        <f t="shared" si="0"/>
        <v>3.6800000000000033</v>
      </c>
      <c r="S9" s="2">
        <f t="shared" si="1"/>
        <v>4.2973333333333308</v>
      </c>
      <c r="U9" s="2">
        <f t="shared" si="2"/>
        <v>-0.61733333333332752</v>
      </c>
      <c r="W9" s="2">
        <f t="shared" si="3"/>
        <v>0.65187473518328687</v>
      </c>
      <c r="X9" s="1" t="s">
        <v>32</v>
      </c>
      <c r="Y9" s="7">
        <v>7.802065930635059E-2</v>
      </c>
      <c r="Z9" s="7">
        <v>5.0859696624152732E-2</v>
      </c>
    </row>
    <row r="10" spans="1:26">
      <c r="A10" s="3">
        <v>27</v>
      </c>
      <c r="B10" s="3" t="s">
        <v>40</v>
      </c>
      <c r="C10" s="2">
        <v>3</v>
      </c>
      <c r="D10" s="2" t="s">
        <v>3</v>
      </c>
      <c r="E10" s="2" t="s">
        <v>12</v>
      </c>
      <c r="F10" s="2">
        <v>24.856000000000002</v>
      </c>
      <c r="G10" s="2">
        <v>20.861999999999998</v>
      </c>
      <c r="I10" s="3">
        <v>33</v>
      </c>
      <c r="J10" s="3" t="s">
        <v>40</v>
      </c>
      <c r="K10" s="2">
        <v>9</v>
      </c>
      <c r="L10" s="2" t="s">
        <v>6</v>
      </c>
      <c r="M10" s="2" t="s">
        <v>12</v>
      </c>
      <c r="N10" s="2">
        <v>24.361999999999998</v>
      </c>
      <c r="O10" s="2">
        <v>19.925666666666668</v>
      </c>
      <c r="Q10" s="2">
        <f t="shared" si="0"/>
        <v>3.9940000000000033</v>
      </c>
      <c r="S10" s="2">
        <f t="shared" si="1"/>
        <v>4.4363333333333301</v>
      </c>
      <c r="U10" s="2">
        <f t="shared" si="2"/>
        <v>-0.44233333333332681</v>
      </c>
      <c r="W10" s="2">
        <f t="shared" si="3"/>
        <v>0.73594337241435426</v>
      </c>
      <c r="X10" s="1" t="s">
        <v>32</v>
      </c>
      <c r="Y10" s="7">
        <v>6.2760471452435684E-2</v>
      </c>
      <c r="Z10" s="7">
        <v>4.6188153015020314E-2</v>
      </c>
    </row>
    <row r="11" spans="1:26">
      <c r="A11" s="3">
        <v>37</v>
      </c>
      <c r="B11" s="3" t="s">
        <v>41</v>
      </c>
      <c r="C11" s="2">
        <v>1</v>
      </c>
      <c r="D11" s="2" t="s">
        <v>3</v>
      </c>
      <c r="E11" s="2" t="s">
        <v>13</v>
      </c>
      <c r="F11" s="2">
        <v>25.74</v>
      </c>
      <c r="G11" s="2">
        <v>20.861999999999998</v>
      </c>
      <c r="I11" s="3">
        <v>43</v>
      </c>
      <c r="J11" s="3" t="s">
        <v>41</v>
      </c>
      <c r="K11" s="2">
        <v>7</v>
      </c>
      <c r="L11" s="2" t="s">
        <v>6</v>
      </c>
      <c r="M11" s="2" t="s">
        <v>13</v>
      </c>
      <c r="N11" s="2">
        <v>25.791</v>
      </c>
      <c r="O11" s="2">
        <v>19.925666666666668</v>
      </c>
      <c r="Q11" s="2">
        <f t="shared" si="0"/>
        <v>4.8780000000000001</v>
      </c>
      <c r="S11" s="2">
        <f t="shared" si="1"/>
        <v>5.8653333333333322</v>
      </c>
      <c r="U11" s="2">
        <f t="shared" si="2"/>
        <v>-0.98733333333333206</v>
      </c>
      <c r="W11" s="2">
        <f t="shared" si="3"/>
        <v>0.50440926017218357</v>
      </c>
      <c r="X11" s="1" t="s">
        <v>23</v>
      </c>
      <c r="Y11" s="7">
        <v>3.4007576302212628E-2</v>
      </c>
      <c r="Z11" s="7">
        <v>1.7153736402848153E-2</v>
      </c>
    </row>
    <row r="12" spans="1:26">
      <c r="A12" s="3">
        <v>38</v>
      </c>
      <c r="B12" s="3" t="s">
        <v>41</v>
      </c>
      <c r="C12" s="2">
        <v>2</v>
      </c>
      <c r="D12" s="2" t="s">
        <v>3</v>
      </c>
      <c r="E12" s="2" t="s">
        <v>13</v>
      </c>
      <c r="F12" s="2">
        <v>25.712</v>
      </c>
      <c r="G12" s="2">
        <v>20.861999999999998</v>
      </c>
      <c r="I12" s="3">
        <v>44</v>
      </c>
      <c r="J12" s="3" t="s">
        <v>41</v>
      </c>
      <c r="K12" s="2">
        <v>8</v>
      </c>
      <c r="L12" s="2" t="s">
        <v>6</v>
      </c>
      <c r="M12" s="2" t="s">
        <v>13</v>
      </c>
      <c r="N12" s="2">
        <v>25.186</v>
      </c>
      <c r="O12" s="2">
        <v>19.925666666666668</v>
      </c>
      <c r="Q12" s="2">
        <f t="shared" si="0"/>
        <v>4.8500000000000014</v>
      </c>
      <c r="S12" s="2">
        <f t="shared" si="1"/>
        <v>5.2603333333333318</v>
      </c>
      <c r="U12" s="2">
        <f t="shared" si="2"/>
        <v>-0.41033333333333033</v>
      </c>
      <c r="W12" s="2">
        <f t="shared" si="3"/>
        <v>0.75244950086971718</v>
      </c>
      <c r="X12" s="1" t="s">
        <v>23</v>
      </c>
      <c r="Y12" s="7">
        <v>3.4674046002120124E-2</v>
      </c>
      <c r="Z12" s="7">
        <v>2.6090468607428901E-2</v>
      </c>
    </row>
    <row r="13" spans="1:26">
      <c r="A13" s="3">
        <v>39</v>
      </c>
      <c r="B13" s="3" t="s">
        <v>41</v>
      </c>
      <c r="C13" s="2">
        <v>3</v>
      </c>
      <c r="D13" s="2" t="s">
        <v>3</v>
      </c>
      <c r="E13" s="2" t="s">
        <v>13</v>
      </c>
      <c r="F13" s="2">
        <v>25.747</v>
      </c>
      <c r="G13" s="2">
        <v>20.861999999999998</v>
      </c>
      <c r="I13" s="3">
        <v>45</v>
      </c>
      <c r="J13" s="3" t="s">
        <v>41</v>
      </c>
      <c r="K13" s="2">
        <v>9</v>
      </c>
      <c r="L13" s="2" t="s">
        <v>6</v>
      </c>
      <c r="M13" s="2" t="s">
        <v>13</v>
      </c>
      <c r="N13" s="2">
        <v>25.82</v>
      </c>
      <c r="O13" s="2">
        <v>19.925666666666668</v>
      </c>
      <c r="Q13" s="2">
        <f t="shared" si="0"/>
        <v>4.8850000000000016</v>
      </c>
      <c r="S13" s="2">
        <f t="shared" si="1"/>
        <v>5.8943333333333321</v>
      </c>
      <c r="U13" s="2">
        <f t="shared" si="2"/>
        <v>-1.0093333333333305</v>
      </c>
      <c r="W13" s="2">
        <f t="shared" si="3"/>
        <v>0.49677575382935535</v>
      </c>
      <c r="X13" s="1" t="s">
        <v>23</v>
      </c>
      <c r="Y13" s="7">
        <v>3.3842970172685116E-2</v>
      </c>
      <c r="Z13" s="7">
        <v>1.6812367019360043E-2</v>
      </c>
    </row>
    <row r="14" spans="1:26">
      <c r="A14" s="3">
        <v>49</v>
      </c>
      <c r="B14" s="3" t="s">
        <v>42</v>
      </c>
      <c r="C14" s="2">
        <v>1</v>
      </c>
      <c r="D14" s="2" t="s">
        <v>3</v>
      </c>
      <c r="E14" s="2" t="s">
        <v>14</v>
      </c>
      <c r="F14" s="2">
        <v>27.613</v>
      </c>
      <c r="G14" s="2">
        <v>20.861999999999998</v>
      </c>
      <c r="I14" s="3">
        <v>55</v>
      </c>
      <c r="J14" s="3" t="s">
        <v>42</v>
      </c>
      <c r="K14" s="2">
        <v>7</v>
      </c>
      <c r="L14" s="2" t="s">
        <v>6</v>
      </c>
      <c r="M14" s="2" t="s">
        <v>14</v>
      </c>
      <c r="N14" s="2">
        <v>26.263000000000002</v>
      </c>
      <c r="O14" s="2">
        <v>19.925666666666668</v>
      </c>
      <c r="Q14" s="2">
        <f t="shared" si="0"/>
        <v>6.7510000000000012</v>
      </c>
      <c r="S14" s="2">
        <f t="shared" si="1"/>
        <v>6.3373333333333335</v>
      </c>
      <c r="U14" s="2">
        <f t="shared" si="2"/>
        <v>0.41366666666666774</v>
      </c>
      <c r="W14" s="2">
        <f t="shared" si="3"/>
        <v>1.3320670167016579</v>
      </c>
      <c r="X14" s="1" t="s">
        <v>24</v>
      </c>
      <c r="Y14" s="7">
        <v>9.2842430082572761E-3</v>
      </c>
      <c r="Z14" s="7">
        <v>1.2367233886342498E-2</v>
      </c>
    </row>
    <row r="15" spans="1:26">
      <c r="A15" s="3">
        <v>50</v>
      </c>
      <c r="B15" s="3" t="s">
        <v>42</v>
      </c>
      <c r="C15" s="2">
        <v>2</v>
      </c>
      <c r="D15" s="2" t="s">
        <v>3</v>
      </c>
      <c r="E15" s="2" t="s">
        <v>14</v>
      </c>
      <c r="F15" s="2">
        <v>27.704999999999998</v>
      </c>
      <c r="G15" s="2">
        <v>20.861999999999998</v>
      </c>
      <c r="I15" s="3">
        <v>56</v>
      </c>
      <c r="J15" s="3" t="s">
        <v>42</v>
      </c>
      <c r="K15" s="2">
        <v>8</v>
      </c>
      <c r="L15" s="2" t="s">
        <v>6</v>
      </c>
      <c r="M15" s="2" t="s">
        <v>14</v>
      </c>
      <c r="N15" s="2">
        <v>26.323</v>
      </c>
      <c r="O15" s="2">
        <v>19.925666666666668</v>
      </c>
      <c r="Q15" s="2">
        <f t="shared" si="0"/>
        <v>6.843</v>
      </c>
      <c r="S15" s="2">
        <f t="shared" si="1"/>
        <v>6.3973333333333322</v>
      </c>
      <c r="U15" s="2">
        <f t="shared" si="2"/>
        <v>0.44566666666666777</v>
      </c>
      <c r="W15" s="2">
        <f t="shared" si="3"/>
        <v>1.3619433225602189</v>
      </c>
      <c r="X15" s="1" t="s">
        <v>24</v>
      </c>
      <c r="Y15" s="7">
        <v>8.710673583810136E-3</v>
      </c>
      <c r="Z15" s="7">
        <v>1.1863443722471903E-2</v>
      </c>
    </row>
    <row r="16" spans="1:26">
      <c r="A16" s="3">
        <v>51</v>
      </c>
      <c r="B16" s="3" t="s">
        <v>42</v>
      </c>
      <c r="C16" s="2">
        <v>3</v>
      </c>
      <c r="D16" s="2" t="s">
        <v>3</v>
      </c>
      <c r="E16" s="2" t="s">
        <v>14</v>
      </c>
      <c r="F16" s="2">
        <v>27.611000000000001</v>
      </c>
      <c r="G16" s="2">
        <v>20.861999999999998</v>
      </c>
      <c r="I16" s="3">
        <v>57</v>
      </c>
      <c r="J16" s="3" t="s">
        <v>42</v>
      </c>
      <c r="K16" s="2">
        <v>9</v>
      </c>
      <c r="L16" s="2" t="s">
        <v>6</v>
      </c>
      <c r="M16" s="2" t="s">
        <v>14</v>
      </c>
      <c r="N16" s="2">
        <v>26.24</v>
      </c>
      <c r="O16" s="2">
        <v>19.925666666666668</v>
      </c>
      <c r="Q16" s="2">
        <f t="shared" si="0"/>
        <v>6.7490000000000023</v>
      </c>
      <c r="S16" s="2">
        <f t="shared" si="1"/>
        <v>6.3143333333333302</v>
      </c>
      <c r="U16" s="2">
        <f t="shared" si="2"/>
        <v>0.43466666666667209</v>
      </c>
      <c r="W16" s="2">
        <f t="shared" si="3"/>
        <v>1.3515985113829043</v>
      </c>
      <c r="X16" s="1" t="s">
        <v>24</v>
      </c>
      <c r="Y16" s="7">
        <v>9.2971226273958884E-3</v>
      </c>
      <c r="Z16" s="7">
        <v>1.2565977103332605E-2</v>
      </c>
    </row>
    <row r="17" spans="1:26">
      <c r="A17" s="3">
        <v>61</v>
      </c>
      <c r="B17" s="3" t="s">
        <v>43</v>
      </c>
      <c r="C17" s="2">
        <v>1</v>
      </c>
      <c r="D17" s="2" t="s">
        <v>3</v>
      </c>
      <c r="E17" s="2" t="s">
        <v>15</v>
      </c>
      <c r="F17" s="2">
        <v>26.053999999999998</v>
      </c>
      <c r="G17" s="2">
        <v>20.861999999999998</v>
      </c>
      <c r="I17" s="3">
        <v>67</v>
      </c>
      <c r="J17" s="3" t="s">
        <v>43</v>
      </c>
      <c r="K17" s="2">
        <v>7</v>
      </c>
      <c r="L17" s="2" t="s">
        <v>6</v>
      </c>
      <c r="M17" s="2" t="s">
        <v>15</v>
      </c>
      <c r="N17" s="2">
        <v>26.395</v>
      </c>
      <c r="O17" s="2">
        <v>19.925666666666668</v>
      </c>
      <c r="Q17" s="2">
        <f t="shared" si="0"/>
        <v>5.1920000000000002</v>
      </c>
      <c r="S17" s="2">
        <f t="shared" si="1"/>
        <v>6.4693333333333314</v>
      </c>
      <c r="U17" s="2">
        <f t="shared" si="2"/>
        <v>-1.2773333333333312</v>
      </c>
      <c r="W17" s="2">
        <f t="shared" si="3"/>
        <v>0.41255737225043659</v>
      </c>
      <c r="X17" s="1" t="s">
        <v>25</v>
      </c>
      <c r="Y17" s="7">
        <v>2.7355979052945751E-2</v>
      </c>
      <c r="Z17" s="7">
        <v>1.1285910833421287E-2</v>
      </c>
    </row>
    <row r="18" spans="1:26">
      <c r="A18" s="3">
        <v>62</v>
      </c>
      <c r="B18" s="3" t="s">
        <v>43</v>
      </c>
      <c r="C18" s="2">
        <v>2</v>
      </c>
      <c r="D18" s="2" t="s">
        <v>3</v>
      </c>
      <c r="E18" s="2" t="s">
        <v>15</v>
      </c>
      <c r="F18" s="2">
        <v>25.946999999999999</v>
      </c>
      <c r="G18" s="2">
        <v>20.861999999999998</v>
      </c>
      <c r="I18" s="3">
        <v>68</v>
      </c>
      <c r="J18" s="3" t="s">
        <v>43</v>
      </c>
      <c r="K18" s="2">
        <v>8</v>
      </c>
      <c r="L18" s="2" t="s">
        <v>6</v>
      </c>
      <c r="M18" s="2" t="s">
        <v>15</v>
      </c>
      <c r="N18" s="2">
        <v>26.353999999999999</v>
      </c>
      <c r="O18" s="2">
        <v>19.925666666666668</v>
      </c>
      <c r="Q18" s="2">
        <f t="shared" si="0"/>
        <v>5.0850000000000009</v>
      </c>
      <c r="S18" s="2">
        <f t="shared" si="1"/>
        <v>6.428333333333331</v>
      </c>
      <c r="U18" s="2">
        <f t="shared" si="2"/>
        <v>-1.3433333333333302</v>
      </c>
      <c r="W18" s="2">
        <f t="shared" si="3"/>
        <v>0.39410901798961967</v>
      </c>
      <c r="X18" s="1" t="s">
        <v>25</v>
      </c>
      <c r="Y18" s="7">
        <v>2.9462016747444971E-2</v>
      </c>
      <c r="Z18" s="7">
        <v>1.161124648832927E-2</v>
      </c>
    </row>
    <row r="19" spans="1:26">
      <c r="A19" s="3">
        <v>63</v>
      </c>
      <c r="B19" s="3" t="s">
        <v>43</v>
      </c>
      <c r="C19" s="2">
        <v>3</v>
      </c>
      <c r="D19" s="2" t="s">
        <v>3</v>
      </c>
      <c r="E19" s="2" t="s">
        <v>15</v>
      </c>
      <c r="F19" s="2">
        <v>26.05</v>
      </c>
      <c r="G19" s="2">
        <v>20.861999999999998</v>
      </c>
      <c r="I19" s="3">
        <v>69</v>
      </c>
      <c r="J19" s="3" t="s">
        <v>43</v>
      </c>
      <c r="K19" s="2">
        <v>9</v>
      </c>
      <c r="L19" s="2" t="s">
        <v>6</v>
      </c>
      <c r="M19" s="2" t="s">
        <v>15</v>
      </c>
      <c r="N19" s="2">
        <v>26.372</v>
      </c>
      <c r="O19" s="2">
        <v>19.925666666666668</v>
      </c>
      <c r="Q19" s="2">
        <f t="shared" si="0"/>
        <v>5.1880000000000024</v>
      </c>
      <c r="S19" s="2">
        <f t="shared" si="1"/>
        <v>6.4463333333333317</v>
      </c>
      <c r="U19" s="2">
        <f t="shared" si="2"/>
        <v>-1.2583333333333293</v>
      </c>
      <c r="W19" s="2">
        <f t="shared" si="3"/>
        <v>0.41802660414425591</v>
      </c>
      <c r="X19" s="1" t="s">
        <v>25</v>
      </c>
      <c r="Y19" s="7">
        <v>2.7431931175297439E-2</v>
      </c>
      <c r="Z19" s="7">
        <v>1.1467277034328533E-2</v>
      </c>
    </row>
    <row r="20" spans="1:26">
      <c r="A20" s="3">
        <v>73</v>
      </c>
      <c r="B20" s="3" t="s">
        <v>44</v>
      </c>
      <c r="C20" s="2">
        <v>1</v>
      </c>
      <c r="D20" s="2" t="s">
        <v>3</v>
      </c>
      <c r="E20" s="2" t="s">
        <v>16</v>
      </c>
      <c r="F20" s="2">
        <v>29.016999999999999</v>
      </c>
      <c r="G20" s="2">
        <v>20.861999999999998</v>
      </c>
      <c r="I20" s="3">
        <v>79</v>
      </c>
      <c r="J20" s="3" t="s">
        <v>44</v>
      </c>
      <c r="K20" s="2">
        <v>7</v>
      </c>
      <c r="L20" s="2" t="s">
        <v>6</v>
      </c>
      <c r="M20" s="2" t="s">
        <v>16</v>
      </c>
      <c r="N20" s="2">
        <v>27.599</v>
      </c>
      <c r="O20" s="2">
        <v>19.925666666666668</v>
      </c>
      <c r="Q20" s="2">
        <f t="shared" si="0"/>
        <v>8.1550000000000011</v>
      </c>
      <c r="S20" s="2">
        <f t="shared" si="1"/>
        <v>7.673333333333332</v>
      </c>
      <c r="U20" s="2">
        <f t="shared" si="2"/>
        <v>0.48166666666666913</v>
      </c>
      <c r="W20" s="2">
        <f t="shared" si="3"/>
        <v>1.3963558684821313</v>
      </c>
      <c r="X20" s="1" t="s">
        <v>26</v>
      </c>
      <c r="Y20" s="7">
        <v>3.508329581577865E-3</v>
      </c>
      <c r="Z20" s="7">
        <v>4.8988765998057137E-3</v>
      </c>
    </row>
    <row r="21" spans="1:26">
      <c r="A21" s="3">
        <v>74</v>
      </c>
      <c r="B21" s="3" t="s">
        <v>44</v>
      </c>
      <c r="C21" s="2">
        <v>2</v>
      </c>
      <c r="D21" s="2" t="s">
        <v>3</v>
      </c>
      <c r="E21" s="2" t="s">
        <v>16</v>
      </c>
      <c r="F21" s="2">
        <v>29.094999999999999</v>
      </c>
      <c r="G21" s="2">
        <v>20.861999999999998</v>
      </c>
      <c r="I21" s="3">
        <v>80</v>
      </c>
      <c r="J21" s="3" t="s">
        <v>44</v>
      </c>
      <c r="K21" s="2">
        <v>8</v>
      </c>
      <c r="L21" s="2" t="s">
        <v>6</v>
      </c>
      <c r="M21" s="2" t="s">
        <v>16</v>
      </c>
      <c r="N21" s="2">
        <v>27.667000000000002</v>
      </c>
      <c r="O21" s="2">
        <v>19.925666666666668</v>
      </c>
      <c r="Q21" s="2">
        <f t="shared" si="0"/>
        <v>8.2330000000000005</v>
      </c>
      <c r="S21" s="2">
        <f t="shared" si="1"/>
        <v>7.7413333333333334</v>
      </c>
      <c r="U21" s="2">
        <f t="shared" si="2"/>
        <v>0.49166666666666714</v>
      </c>
      <c r="W21" s="2">
        <f t="shared" si="3"/>
        <v>1.4060682916223499</v>
      </c>
      <c r="X21" s="1" t="s">
        <v>26</v>
      </c>
      <c r="Y21" s="7">
        <v>3.3236864433849218E-3</v>
      </c>
      <c r="Z21" s="7">
        <v>4.6733301193386022E-3</v>
      </c>
    </row>
    <row r="22" spans="1:26">
      <c r="A22" s="3">
        <v>75</v>
      </c>
      <c r="B22" s="3" t="s">
        <v>44</v>
      </c>
      <c r="C22" s="2">
        <v>3</v>
      </c>
      <c r="D22" s="2" t="s">
        <v>3</v>
      </c>
      <c r="E22" s="2" t="s">
        <v>16</v>
      </c>
      <c r="F22" s="2">
        <v>28.981999999999999</v>
      </c>
      <c r="G22" s="2">
        <v>20.861999999999998</v>
      </c>
      <c r="I22" s="3">
        <v>81</v>
      </c>
      <c r="J22" s="3" t="s">
        <v>44</v>
      </c>
      <c r="K22" s="2">
        <v>9</v>
      </c>
      <c r="L22" s="2" t="s">
        <v>6</v>
      </c>
      <c r="M22" s="2" t="s">
        <v>16</v>
      </c>
      <c r="N22" s="2">
        <v>27.58</v>
      </c>
      <c r="O22" s="2">
        <v>19.925666666666668</v>
      </c>
      <c r="Q22" s="2">
        <f t="shared" si="0"/>
        <v>8.120000000000001</v>
      </c>
      <c r="S22" s="2">
        <f t="shared" si="1"/>
        <v>7.6543333333333301</v>
      </c>
      <c r="U22" s="2">
        <f t="shared" si="2"/>
        <v>0.46566666666667089</v>
      </c>
      <c r="W22" s="2">
        <f t="shared" si="3"/>
        <v>1.3809553428466665</v>
      </c>
      <c r="X22" s="1" t="s">
        <v>26</v>
      </c>
      <c r="Y22" s="7">
        <v>3.5944830102534174E-3</v>
      </c>
      <c r="Z22" s="7">
        <v>4.9638205177810245E-3</v>
      </c>
    </row>
    <row r="23" spans="1:26">
      <c r="A23" s="3">
        <v>85</v>
      </c>
      <c r="B23" s="3" t="s">
        <v>45</v>
      </c>
      <c r="C23" s="2">
        <v>1</v>
      </c>
      <c r="D23" s="2" t="s">
        <v>3</v>
      </c>
      <c r="E23" s="2" t="s">
        <v>17</v>
      </c>
      <c r="F23" s="2">
        <v>35.776000000000003</v>
      </c>
      <c r="G23" s="2">
        <v>20.861999999999998</v>
      </c>
      <c r="I23" s="3">
        <v>91</v>
      </c>
      <c r="J23" s="3" t="s">
        <v>45</v>
      </c>
      <c r="K23" s="2">
        <v>7</v>
      </c>
      <c r="L23" s="2" t="s">
        <v>6</v>
      </c>
      <c r="M23" s="2" t="s">
        <v>17</v>
      </c>
      <c r="N23" s="2">
        <v>33.784999999999997</v>
      </c>
      <c r="O23" s="2">
        <v>19.925666666666668</v>
      </c>
      <c r="Q23" s="2">
        <f t="shared" si="0"/>
        <v>14.914000000000005</v>
      </c>
      <c r="S23" s="2">
        <f t="shared" si="1"/>
        <v>13.859333333333328</v>
      </c>
      <c r="U23" s="2">
        <f t="shared" si="2"/>
        <v>1.0546666666666766</v>
      </c>
      <c r="W23" s="2">
        <f t="shared" si="3"/>
        <v>2.0772382072102151</v>
      </c>
      <c r="X23" s="1" t="s">
        <v>27</v>
      </c>
      <c r="Y23" s="7">
        <v>3.2392065702813467E-5</v>
      </c>
      <c r="Z23" s="7">
        <v>6.7286036488347723E-5</v>
      </c>
    </row>
    <row r="24" spans="1:26">
      <c r="A24" s="3">
        <v>86</v>
      </c>
      <c r="B24" s="3" t="s">
        <v>45</v>
      </c>
      <c r="C24" s="2">
        <v>2</v>
      </c>
      <c r="D24" s="2" t="s">
        <v>3</v>
      </c>
      <c r="E24" s="2" t="s">
        <v>17</v>
      </c>
      <c r="F24" s="2">
        <v>34.14</v>
      </c>
      <c r="G24" s="2">
        <v>20.861999999999998</v>
      </c>
      <c r="I24" s="3">
        <v>92</v>
      </c>
      <c r="J24" s="3" t="s">
        <v>45</v>
      </c>
      <c r="K24" s="2">
        <v>8</v>
      </c>
      <c r="L24" s="2" t="s">
        <v>6</v>
      </c>
      <c r="M24" s="2" t="s">
        <v>17</v>
      </c>
      <c r="N24" s="2">
        <v>33.572000000000003</v>
      </c>
      <c r="O24" s="2">
        <v>19.925666666666668</v>
      </c>
      <c r="Q24" s="2">
        <f t="shared" si="0"/>
        <v>13.278000000000002</v>
      </c>
      <c r="S24" s="2">
        <f t="shared" si="1"/>
        <v>13.646333333333335</v>
      </c>
      <c r="U24" s="2">
        <f t="shared" si="2"/>
        <v>-0.36833333333333229</v>
      </c>
      <c r="W24" s="2">
        <f t="shared" si="3"/>
        <v>0.77467692190527704</v>
      </c>
      <c r="X24" s="1" t="s">
        <v>27</v>
      </c>
      <c r="Y24" s="7">
        <v>1.0067548200806648E-4</v>
      </c>
      <c r="Z24" s="7">
        <v>7.7990972513339028E-5</v>
      </c>
    </row>
    <row r="25" spans="1:26">
      <c r="A25" s="3">
        <v>87</v>
      </c>
      <c r="B25" s="3" t="s">
        <v>45</v>
      </c>
      <c r="C25" s="2">
        <v>3</v>
      </c>
      <c r="D25" s="2" t="s">
        <v>3</v>
      </c>
      <c r="E25" s="2" t="s">
        <v>17</v>
      </c>
      <c r="F25" s="2">
        <v>35.091999999999999</v>
      </c>
      <c r="G25" s="2">
        <v>20.861999999999998</v>
      </c>
      <c r="I25" s="3">
        <v>93</v>
      </c>
      <c r="J25" s="3" t="s">
        <v>45</v>
      </c>
      <c r="K25" s="2">
        <v>9</v>
      </c>
      <c r="L25" s="2" t="s">
        <v>6</v>
      </c>
      <c r="M25" s="2" t="s">
        <v>17</v>
      </c>
      <c r="N25" s="2">
        <v>33.597999999999999</v>
      </c>
      <c r="O25" s="2">
        <v>19.925666666666668</v>
      </c>
      <c r="Q25" s="2">
        <f t="shared" si="0"/>
        <v>14.23</v>
      </c>
      <c r="S25" s="2">
        <f t="shared" si="1"/>
        <v>13.672333333333331</v>
      </c>
      <c r="U25" s="2">
        <f t="shared" si="2"/>
        <v>0.55766666666666964</v>
      </c>
      <c r="W25" s="2">
        <f t="shared" si="3"/>
        <v>1.4718867448287047</v>
      </c>
      <c r="X25" s="1" t="s">
        <v>27</v>
      </c>
      <c r="Y25" s="7">
        <v>5.2040703843259103E-5</v>
      </c>
      <c r="Z25" s="7">
        <v>7.6598022178449318E-5</v>
      </c>
    </row>
    <row r="26" spans="1:26">
      <c r="A26" s="3">
        <v>1</v>
      </c>
      <c r="B26" s="3" t="s">
        <v>38</v>
      </c>
      <c r="C26" s="2">
        <v>1</v>
      </c>
      <c r="D26" s="2" t="s">
        <v>3</v>
      </c>
      <c r="E26" s="2" t="s">
        <v>4</v>
      </c>
      <c r="F26" s="2">
        <v>22.498000000000001</v>
      </c>
      <c r="G26" s="2">
        <v>20.861999999999998</v>
      </c>
      <c r="I26" s="3">
        <v>7</v>
      </c>
      <c r="J26" s="3" t="s">
        <v>38</v>
      </c>
      <c r="K26" s="2">
        <v>7</v>
      </c>
      <c r="L26" s="2" t="s">
        <v>6</v>
      </c>
      <c r="M26" s="2" t="s">
        <v>4</v>
      </c>
      <c r="N26" s="2">
        <v>21.242000000000001</v>
      </c>
      <c r="O26" s="2">
        <v>19.925666666666668</v>
      </c>
      <c r="Q26" s="2">
        <f t="shared" si="0"/>
        <v>1.6360000000000028</v>
      </c>
      <c r="S26" s="2">
        <f t="shared" si="1"/>
        <v>1.3163333333333327</v>
      </c>
      <c r="U26" s="2">
        <f t="shared" si="2"/>
        <v>0.3196666666666701</v>
      </c>
      <c r="W26" s="2">
        <f t="shared" si="3"/>
        <v>1.2480421566191549</v>
      </c>
      <c r="X26" s="1" t="s">
        <v>28</v>
      </c>
      <c r="Y26" s="7">
        <v>0.32174731182531707</v>
      </c>
      <c r="Z26" s="7">
        <v>0.40155420893688437</v>
      </c>
    </row>
    <row r="27" spans="1:26">
      <c r="A27" s="3">
        <v>2</v>
      </c>
      <c r="B27" s="3" t="s">
        <v>38</v>
      </c>
      <c r="C27" s="2">
        <v>2</v>
      </c>
      <c r="D27" s="2" t="s">
        <v>3</v>
      </c>
      <c r="E27" s="2" t="s">
        <v>4</v>
      </c>
      <c r="F27" s="2">
        <v>22.884</v>
      </c>
      <c r="G27" s="2">
        <v>20.861999999999998</v>
      </c>
      <c r="I27" s="3">
        <v>8</v>
      </c>
      <c r="J27" s="3" t="s">
        <v>38</v>
      </c>
      <c r="K27" s="2">
        <v>8</v>
      </c>
      <c r="L27" s="2" t="s">
        <v>6</v>
      </c>
      <c r="M27" s="2" t="s">
        <v>4</v>
      </c>
      <c r="N27" s="2">
        <v>21.344000000000001</v>
      </c>
      <c r="O27" s="2">
        <v>19.925666666666668</v>
      </c>
      <c r="Q27" s="2">
        <f t="shared" si="0"/>
        <v>2.022000000000002</v>
      </c>
      <c r="S27" s="2">
        <f t="shared" si="1"/>
        <v>1.418333333333333</v>
      </c>
      <c r="U27" s="2">
        <f t="shared" si="2"/>
        <v>0.60366666666666902</v>
      </c>
      <c r="W27" s="2">
        <f t="shared" si="3"/>
        <v>1.5195737197583501</v>
      </c>
      <c r="X27" s="1" t="s">
        <v>28</v>
      </c>
      <c r="Y27" s="7">
        <v>0.24621661072388731</v>
      </c>
      <c r="Z27" s="7">
        <v>0.3741442910239911</v>
      </c>
    </row>
    <row r="28" spans="1:26">
      <c r="A28" s="3">
        <v>3</v>
      </c>
      <c r="B28" s="3" t="s">
        <v>38</v>
      </c>
      <c r="C28" s="2">
        <v>3</v>
      </c>
      <c r="D28" s="2" t="s">
        <v>3</v>
      </c>
      <c r="E28" s="2" t="s">
        <v>4</v>
      </c>
      <c r="F28" s="2">
        <v>22.847000000000001</v>
      </c>
      <c r="G28" s="2">
        <v>20.861999999999998</v>
      </c>
      <c r="I28" s="3">
        <v>9</v>
      </c>
      <c r="J28" s="3" t="s">
        <v>38</v>
      </c>
      <c r="K28" s="2">
        <v>9</v>
      </c>
      <c r="L28" s="2" t="s">
        <v>6</v>
      </c>
      <c r="M28" s="2" t="s">
        <v>4</v>
      </c>
      <c r="N28" s="2">
        <v>21.282</v>
      </c>
      <c r="O28" s="2">
        <v>19.925666666666668</v>
      </c>
      <c r="Q28" s="2">
        <f t="shared" si="0"/>
        <v>1.985000000000003</v>
      </c>
      <c r="S28" s="2">
        <f t="shared" si="1"/>
        <v>1.3563333333333318</v>
      </c>
      <c r="U28" s="2">
        <f t="shared" si="2"/>
        <v>0.62866666666667115</v>
      </c>
      <c r="W28" s="2">
        <f t="shared" si="3"/>
        <v>1.5461354005070622</v>
      </c>
      <c r="X28" s="1" t="s">
        <v>28</v>
      </c>
      <c r="Y28" s="7">
        <v>0.25261286162169044</v>
      </c>
      <c r="Z28" s="7">
        <v>0.39057368797668746</v>
      </c>
    </row>
    <row r="29" spans="1:26">
      <c r="A29" s="3">
        <v>13</v>
      </c>
      <c r="B29" s="3" t="s">
        <v>39</v>
      </c>
      <c r="C29" s="2">
        <v>1</v>
      </c>
      <c r="D29" s="2" t="s">
        <v>3</v>
      </c>
      <c r="E29" s="2" t="s">
        <v>8</v>
      </c>
      <c r="F29" s="2" t="s">
        <v>46</v>
      </c>
      <c r="G29" s="2">
        <v>20.861999999999998</v>
      </c>
      <c r="I29" s="3">
        <v>19</v>
      </c>
      <c r="J29" s="3" t="s">
        <v>39</v>
      </c>
      <c r="K29" s="2">
        <v>7</v>
      </c>
      <c r="L29" s="2" t="s">
        <v>6</v>
      </c>
      <c r="M29" s="2" t="s">
        <v>8</v>
      </c>
      <c r="N29" s="2">
        <v>24.262</v>
      </c>
      <c r="O29" s="2">
        <v>19.925666666666668</v>
      </c>
      <c r="Q29" s="2" t="e">
        <f t="shared" si="0"/>
        <v>#VALUE!</v>
      </c>
      <c r="S29" s="2">
        <f t="shared" si="1"/>
        <v>4.3363333333333323</v>
      </c>
      <c r="U29" s="2" t="e">
        <f t="shared" si="2"/>
        <v>#VALUE!</v>
      </c>
      <c r="W29" s="2" t="e">
        <f t="shared" si="3"/>
        <v>#VALUE!</v>
      </c>
      <c r="X29" s="1" t="s">
        <v>29</v>
      </c>
      <c r="Y29" s="7" t="e">
        <v>#VALUE!</v>
      </c>
      <c r="Z29" s="7">
        <v>4.9503236685064379E-2</v>
      </c>
    </row>
    <row r="30" spans="1:26">
      <c r="A30" s="3">
        <v>14</v>
      </c>
      <c r="B30" s="3" t="s">
        <v>39</v>
      </c>
      <c r="C30" s="2">
        <v>2</v>
      </c>
      <c r="D30" s="2" t="s">
        <v>3</v>
      </c>
      <c r="E30" s="2" t="s">
        <v>8</v>
      </c>
      <c r="F30" s="2">
        <v>24.167999999999999</v>
      </c>
      <c r="G30" s="2">
        <v>20.861999999999998</v>
      </c>
      <c r="I30" s="3">
        <v>20</v>
      </c>
      <c r="J30" s="3" t="s">
        <v>39</v>
      </c>
      <c r="K30" s="2">
        <v>8</v>
      </c>
      <c r="L30" s="2" t="s">
        <v>6</v>
      </c>
      <c r="M30" s="2" t="s">
        <v>8</v>
      </c>
      <c r="N30" s="2">
        <v>24.123000000000001</v>
      </c>
      <c r="O30" s="2">
        <v>19.925666666666668</v>
      </c>
      <c r="Q30" s="2">
        <f t="shared" si="0"/>
        <v>3.3060000000000009</v>
      </c>
      <c r="S30" s="2">
        <f t="shared" si="1"/>
        <v>4.1973333333333329</v>
      </c>
      <c r="U30" s="2">
        <f t="shared" si="2"/>
        <v>-0.89133333333333198</v>
      </c>
      <c r="W30" s="2">
        <f t="shared" si="3"/>
        <v>0.53911563929434192</v>
      </c>
      <c r="X30" s="1" t="s">
        <v>29</v>
      </c>
      <c r="Y30" s="7">
        <v>0.1011101685452173</v>
      </c>
      <c r="Z30" s="7">
        <v>5.4510073154413502E-2</v>
      </c>
    </row>
    <row r="31" spans="1:26">
      <c r="A31" s="3">
        <v>15</v>
      </c>
      <c r="B31" s="3" t="s">
        <v>39</v>
      </c>
      <c r="C31" s="2">
        <v>3</v>
      </c>
      <c r="D31" s="2" t="s">
        <v>3</v>
      </c>
      <c r="E31" s="2" t="s">
        <v>8</v>
      </c>
      <c r="F31" s="2">
        <v>24.239000000000001</v>
      </c>
      <c r="G31" s="2">
        <v>20.861999999999998</v>
      </c>
      <c r="I31" s="3">
        <v>21</v>
      </c>
      <c r="J31" s="3" t="s">
        <v>39</v>
      </c>
      <c r="K31" s="2">
        <v>9</v>
      </c>
      <c r="L31" s="2" t="s">
        <v>6</v>
      </c>
      <c r="M31" s="2" t="s">
        <v>8</v>
      </c>
      <c r="N31" s="2">
        <v>24.196000000000002</v>
      </c>
      <c r="O31" s="2">
        <v>19.925666666666668</v>
      </c>
      <c r="Q31" s="2">
        <f t="shared" si="0"/>
        <v>3.3770000000000024</v>
      </c>
      <c r="S31" s="2">
        <f t="shared" si="1"/>
        <v>4.2703333333333333</v>
      </c>
      <c r="U31" s="2">
        <f t="shared" si="2"/>
        <v>-0.89333333333333087</v>
      </c>
      <c r="W31" s="2">
        <f t="shared" si="3"/>
        <v>0.53836878412376243</v>
      </c>
      <c r="X31" s="1" t="s">
        <v>29</v>
      </c>
      <c r="Y31" s="7">
        <v>9.625464677950879E-2</v>
      </c>
      <c r="Z31" s="7">
        <v>5.1820497152946371E-2</v>
      </c>
    </row>
    <row r="32" spans="1:26">
      <c r="A32" s="3">
        <v>25</v>
      </c>
      <c r="B32" s="3" t="s">
        <v>40</v>
      </c>
      <c r="C32" s="2">
        <v>1</v>
      </c>
      <c r="D32" s="2" t="s">
        <v>3</v>
      </c>
      <c r="E32" s="2" t="s">
        <v>9</v>
      </c>
      <c r="F32" s="2">
        <v>24.978000000000002</v>
      </c>
      <c r="G32" s="2">
        <v>20.861999999999998</v>
      </c>
      <c r="I32" s="3">
        <v>31</v>
      </c>
      <c r="J32" s="3" t="s">
        <v>40</v>
      </c>
      <c r="K32" s="2">
        <v>7</v>
      </c>
      <c r="L32" s="2" t="s">
        <v>6</v>
      </c>
      <c r="M32" s="2" t="s">
        <v>9</v>
      </c>
      <c r="N32" s="2">
        <v>23.745000000000001</v>
      </c>
      <c r="O32" s="2">
        <v>19.925666666666668</v>
      </c>
      <c r="Q32" s="2">
        <f t="shared" si="0"/>
        <v>4.1160000000000032</v>
      </c>
      <c r="S32" s="2">
        <f t="shared" si="1"/>
        <v>3.8193333333333328</v>
      </c>
      <c r="U32" s="2">
        <f t="shared" si="2"/>
        <v>0.29666666666667041</v>
      </c>
      <c r="W32" s="2">
        <f t="shared" si="3"/>
        <v>1.2283031493691781</v>
      </c>
      <c r="X32" s="1" t="s">
        <v>30</v>
      </c>
      <c r="Y32" s="7">
        <v>5.767140579086228E-2</v>
      </c>
      <c r="Z32" s="7">
        <v>7.0837969361463984E-2</v>
      </c>
    </row>
    <row r="33" spans="1:26">
      <c r="A33" s="3">
        <v>26</v>
      </c>
      <c r="B33" s="3" t="s">
        <v>40</v>
      </c>
      <c r="C33" s="2">
        <v>2</v>
      </c>
      <c r="D33" s="2" t="s">
        <v>3</v>
      </c>
      <c r="E33" s="2" t="s">
        <v>9</v>
      </c>
      <c r="F33" s="2">
        <v>25.033999999999999</v>
      </c>
      <c r="G33" s="2">
        <v>20.861999999999998</v>
      </c>
      <c r="I33" s="3">
        <v>32</v>
      </c>
      <c r="J33" s="3" t="s">
        <v>40</v>
      </c>
      <c r="K33" s="2">
        <v>8</v>
      </c>
      <c r="L33" s="2" t="s">
        <v>6</v>
      </c>
      <c r="M33" s="2" t="s">
        <v>9</v>
      </c>
      <c r="N33" s="2">
        <v>23.773</v>
      </c>
      <c r="O33" s="2">
        <v>19.925666666666668</v>
      </c>
      <c r="Q33" s="2">
        <f t="shared" si="0"/>
        <v>4.1720000000000006</v>
      </c>
      <c r="S33" s="2">
        <f t="shared" si="1"/>
        <v>3.8473333333333315</v>
      </c>
      <c r="U33" s="2">
        <f t="shared" si="2"/>
        <v>0.3246666666666691</v>
      </c>
      <c r="W33" s="2">
        <f t="shared" si="3"/>
        <v>1.252375045116193</v>
      </c>
      <c r="X33" s="1" t="s">
        <v>30</v>
      </c>
      <c r="Y33" s="7">
        <v>5.5475708579343599E-2</v>
      </c>
      <c r="Z33" s="7">
        <v>6.9476393034908199E-2</v>
      </c>
    </row>
    <row r="34" spans="1:26">
      <c r="A34" s="3">
        <v>27</v>
      </c>
      <c r="B34" s="3" t="s">
        <v>40</v>
      </c>
      <c r="C34" s="2">
        <v>3</v>
      </c>
      <c r="D34" s="2" t="s">
        <v>3</v>
      </c>
      <c r="E34" s="2" t="s">
        <v>9</v>
      </c>
      <c r="F34" s="2">
        <v>24.896999999999998</v>
      </c>
      <c r="G34" s="2">
        <v>20.861999999999998</v>
      </c>
      <c r="I34" s="3">
        <v>33</v>
      </c>
      <c r="J34" s="3" t="s">
        <v>40</v>
      </c>
      <c r="K34" s="2">
        <v>9</v>
      </c>
      <c r="L34" s="2" t="s">
        <v>6</v>
      </c>
      <c r="M34" s="2" t="s">
        <v>9</v>
      </c>
      <c r="N34" s="2">
        <v>23.786000000000001</v>
      </c>
      <c r="O34" s="2">
        <v>19.925666666666668</v>
      </c>
      <c r="Q34" s="2">
        <f t="shared" si="0"/>
        <v>4.0350000000000001</v>
      </c>
      <c r="S34" s="2">
        <f t="shared" si="1"/>
        <v>3.8603333333333332</v>
      </c>
      <c r="U34" s="2">
        <f t="shared" si="2"/>
        <v>0.17466666666666697</v>
      </c>
      <c r="W34" s="2">
        <f t="shared" si="3"/>
        <v>1.1287035887732266</v>
      </c>
      <c r="X34" s="1" t="s">
        <v>30</v>
      </c>
      <c r="Y34" s="7">
        <v>6.1001985048514042E-2</v>
      </c>
      <c r="Z34" s="7">
        <v>6.8853159446548504E-2</v>
      </c>
    </row>
    <row r="35" spans="1:26">
      <c r="A35" s="3"/>
      <c r="B35" s="3"/>
      <c r="I35" s="3"/>
      <c r="J35" s="3"/>
      <c r="Y35" s="7"/>
      <c r="Z35" s="7"/>
    </row>
    <row r="36" spans="1:26">
      <c r="A36" s="3"/>
      <c r="B36" s="3"/>
      <c r="I36" s="3"/>
      <c r="J36" s="3"/>
      <c r="Y36" s="7"/>
      <c r="Z36" s="7"/>
    </row>
    <row r="37" spans="1:26">
      <c r="A37" s="3">
        <v>4</v>
      </c>
      <c r="B37" s="3" t="s">
        <v>38</v>
      </c>
      <c r="C37" s="2">
        <v>4</v>
      </c>
      <c r="D37" s="2" t="s">
        <v>5</v>
      </c>
      <c r="E37" s="2" t="s">
        <v>10</v>
      </c>
      <c r="F37" s="2">
        <v>21.468</v>
      </c>
      <c r="I37" s="3">
        <v>10</v>
      </c>
      <c r="J37" s="3" t="s">
        <v>38</v>
      </c>
      <c r="K37" s="2">
        <v>10</v>
      </c>
      <c r="L37" s="2" t="s">
        <v>7</v>
      </c>
      <c r="M37" s="2" t="s">
        <v>10</v>
      </c>
      <c r="N37" s="2">
        <v>19.937000000000001</v>
      </c>
      <c r="Y37" s="7"/>
      <c r="Z37" s="7"/>
    </row>
    <row r="38" spans="1:26">
      <c r="A38" s="3">
        <v>5</v>
      </c>
      <c r="B38" s="3" t="s">
        <v>38</v>
      </c>
      <c r="C38" s="2">
        <v>5</v>
      </c>
      <c r="D38" s="2" t="s">
        <v>5</v>
      </c>
      <c r="E38" s="2" t="s">
        <v>10</v>
      </c>
      <c r="F38" s="2">
        <v>21.465</v>
      </c>
      <c r="I38" s="3">
        <v>11</v>
      </c>
      <c r="J38" s="3" t="s">
        <v>38</v>
      </c>
      <c r="K38" s="2">
        <v>11</v>
      </c>
      <c r="L38" s="2" t="s">
        <v>7</v>
      </c>
      <c r="M38" s="2" t="s">
        <v>10</v>
      </c>
      <c r="N38" s="2">
        <v>19.884</v>
      </c>
      <c r="Y38" s="7"/>
      <c r="Z38" s="7"/>
    </row>
    <row r="39" spans="1:26">
      <c r="A39" s="3">
        <v>6</v>
      </c>
      <c r="B39" s="3" t="s">
        <v>38</v>
      </c>
      <c r="C39" s="2">
        <v>6</v>
      </c>
      <c r="D39" s="2" t="s">
        <v>5</v>
      </c>
      <c r="E39" s="2" t="s">
        <v>10</v>
      </c>
      <c r="F39" s="2">
        <v>21.460999999999999</v>
      </c>
      <c r="G39" s="2">
        <f>AVERAGE(F37:F39)</f>
        <v>21.46466666666667</v>
      </c>
      <c r="I39" s="3">
        <v>12</v>
      </c>
      <c r="J39" s="3" t="s">
        <v>38</v>
      </c>
      <c r="K39" s="2">
        <v>12</v>
      </c>
      <c r="L39" s="2" t="s">
        <v>7</v>
      </c>
      <c r="M39" s="2" t="s">
        <v>10</v>
      </c>
      <c r="N39" s="2">
        <v>19.957999999999998</v>
      </c>
      <c r="O39" s="2">
        <f>AVERAGE(N37:N39)</f>
        <v>19.926333333333332</v>
      </c>
      <c r="Y39" s="7" t="s">
        <v>53</v>
      </c>
      <c r="Z39" s="7" t="s">
        <v>54</v>
      </c>
    </row>
    <row r="40" spans="1:26">
      <c r="A40" s="3">
        <v>16</v>
      </c>
      <c r="B40" s="3" t="s">
        <v>39</v>
      </c>
      <c r="C40" s="2">
        <v>4</v>
      </c>
      <c r="D40" s="2" t="s">
        <v>5</v>
      </c>
      <c r="E40" s="2" t="s">
        <v>11</v>
      </c>
      <c r="F40" s="2">
        <v>36.68</v>
      </c>
      <c r="G40" s="2">
        <v>21.46466666666667</v>
      </c>
      <c r="I40" s="3">
        <v>22</v>
      </c>
      <c r="J40" s="3" t="s">
        <v>39</v>
      </c>
      <c r="K40" s="2">
        <v>10</v>
      </c>
      <c r="L40" s="2" t="s">
        <v>7</v>
      </c>
      <c r="M40" s="2" t="s">
        <v>11</v>
      </c>
      <c r="N40" s="2">
        <v>27.347000000000001</v>
      </c>
      <c r="O40" s="2">
        <v>19.926333333333332</v>
      </c>
      <c r="Q40" s="2">
        <f t="shared" si="0"/>
        <v>15.21533333333333</v>
      </c>
      <c r="S40" s="2">
        <f t="shared" si="1"/>
        <v>7.4206666666666692</v>
      </c>
      <c r="U40" s="2">
        <f t="shared" si="2"/>
        <v>7.7946666666666609</v>
      </c>
      <c r="W40" s="5">
        <f t="shared" si="3"/>
        <v>222.03859617488325</v>
      </c>
      <c r="X40" s="6" t="s">
        <v>31</v>
      </c>
      <c r="Y40" s="7">
        <v>2.6286228127318927E-5</v>
      </c>
      <c r="Z40" s="7">
        <v>5.8365571921226251E-3</v>
      </c>
    </row>
    <row r="41" spans="1:26">
      <c r="A41" s="3">
        <v>17</v>
      </c>
      <c r="B41" s="3" t="s">
        <v>39</v>
      </c>
      <c r="C41" s="2">
        <v>5</v>
      </c>
      <c r="D41" s="2" t="s">
        <v>5</v>
      </c>
      <c r="E41" s="2" t="s">
        <v>11</v>
      </c>
      <c r="F41" s="2">
        <v>33.552999999999997</v>
      </c>
      <c r="G41" s="2">
        <v>21.46466666666667</v>
      </c>
      <c r="I41" s="3">
        <v>23</v>
      </c>
      <c r="J41" s="3" t="s">
        <v>39</v>
      </c>
      <c r="K41" s="2">
        <v>11</v>
      </c>
      <c r="L41" s="2" t="s">
        <v>7</v>
      </c>
      <c r="M41" s="2" t="s">
        <v>11</v>
      </c>
      <c r="N41" s="2">
        <v>27.643999999999998</v>
      </c>
      <c r="O41" s="2">
        <v>19.926333333333332</v>
      </c>
      <c r="Q41" s="2">
        <f t="shared" si="0"/>
        <v>12.088333333333328</v>
      </c>
      <c r="S41" s="2">
        <f t="shared" si="1"/>
        <v>7.7176666666666662</v>
      </c>
      <c r="U41" s="2">
        <f t="shared" si="2"/>
        <v>4.3706666666666614</v>
      </c>
      <c r="W41" s="2">
        <f t="shared" si="3"/>
        <v>20.687202599259351</v>
      </c>
      <c r="X41" s="1" t="s">
        <v>31</v>
      </c>
      <c r="Y41" s="7">
        <v>2.2964080948151643E-4</v>
      </c>
      <c r="Z41" s="7">
        <v>4.7506259508020496E-3</v>
      </c>
    </row>
    <row r="42" spans="1:26">
      <c r="A42" s="3">
        <v>18</v>
      </c>
      <c r="B42" s="3" t="s">
        <v>39</v>
      </c>
      <c r="C42" s="2">
        <v>6</v>
      </c>
      <c r="D42" s="2" t="s">
        <v>5</v>
      </c>
      <c r="E42" s="2" t="s">
        <v>11</v>
      </c>
      <c r="F42" s="2">
        <v>32.927999999999997</v>
      </c>
      <c r="G42" s="2">
        <v>21.46466666666667</v>
      </c>
      <c r="I42" s="3">
        <v>24</v>
      </c>
      <c r="J42" s="3" t="s">
        <v>39</v>
      </c>
      <c r="K42" s="2">
        <v>12</v>
      </c>
      <c r="L42" s="2" t="s">
        <v>7</v>
      </c>
      <c r="M42" s="2" t="s">
        <v>11</v>
      </c>
      <c r="N42" s="2">
        <v>27.544</v>
      </c>
      <c r="O42" s="2">
        <v>19.926333333333332</v>
      </c>
      <c r="Q42" s="2">
        <f t="shared" si="0"/>
        <v>11.463333333333328</v>
      </c>
      <c r="S42" s="2">
        <f t="shared" si="1"/>
        <v>7.6176666666666684</v>
      </c>
      <c r="U42" s="2">
        <f t="shared" si="2"/>
        <v>3.8456666666666592</v>
      </c>
      <c r="W42" s="2">
        <f t="shared" si="3"/>
        <v>14.376759905140144</v>
      </c>
      <c r="X42" s="1" t="s">
        <v>31</v>
      </c>
      <c r="Y42" s="7">
        <v>3.5415454233783721E-4</v>
      </c>
      <c r="Z42" s="7">
        <v>5.0915948245058781E-3</v>
      </c>
    </row>
    <row r="43" spans="1:26">
      <c r="A43" s="3">
        <v>28</v>
      </c>
      <c r="B43" s="3" t="s">
        <v>40</v>
      </c>
      <c r="C43" s="2">
        <v>4</v>
      </c>
      <c r="D43" s="2" t="s">
        <v>5</v>
      </c>
      <c r="E43" s="2" t="s">
        <v>12</v>
      </c>
      <c r="F43" s="2">
        <v>24.594000000000001</v>
      </c>
      <c r="G43" s="2">
        <v>21.46466666666667</v>
      </c>
      <c r="I43" s="3">
        <v>34</v>
      </c>
      <c r="J43" s="3" t="s">
        <v>40</v>
      </c>
      <c r="K43" s="2">
        <v>10</v>
      </c>
      <c r="L43" s="2" t="s">
        <v>7</v>
      </c>
      <c r="M43" s="2" t="s">
        <v>12</v>
      </c>
      <c r="N43" s="2">
        <v>24.504000000000001</v>
      </c>
      <c r="O43" s="2">
        <v>19.926333333333332</v>
      </c>
      <c r="Q43" s="2">
        <f t="shared" si="0"/>
        <v>3.1293333333333315</v>
      </c>
      <c r="S43" s="2">
        <f t="shared" si="1"/>
        <v>4.5776666666666692</v>
      </c>
      <c r="U43" s="2">
        <f t="shared" si="2"/>
        <v>-1.4483333333333377</v>
      </c>
      <c r="W43" s="2">
        <f t="shared" si="3"/>
        <v>0.36644451285516599</v>
      </c>
      <c r="X43" s="1" t="s">
        <v>32</v>
      </c>
      <c r="Y43" s="7">
        <v>0.11428172845090885</v>
      </c>
      <c r="Z43" s="7">
        <v>4.1877912310439663E-2</v>
      </c>
    </row>
    <row r="44" spans="1:26">
      <c r="A44" s="3">
        <v>29</v>
      </c>
      <c r="B44" s="3" t="s">
        <v>40</v>
      </c>
      <c r="C44" s="2">
        <v>5</v>
      </c>
      <c r="D44" s="2" t="s">
        <v>5</v>
      </c>
      <c r="E44" s="2" t="s">
        <v>12</v>
      </c>
      <c r="F44" s="2">
        <v>24.553000000000001</v>
      </c>
      <c r="G44" s="2">
        <v>21.46466666666667</v>
      </c>
      <c r="I44" s="3">
        <v>35</v>
      </c>
      <c r="J44" s="3" t="s">
        <v>40</v>
      </c>
      <c r="K44" s="2">
        <v>11</v>
      </c>
      <c r="L44" s="2" t="s">
        <v>7</v>
      </c>
      <c r="M44" s="2" t="s">
        <v>12</v>
      </c>
      <c r="N44" s="2">
        <v>24.448</v>
      </c>
      <c r="O44" s="2">
        <v>19.926333333333332</v>
      </c>
      <c r="Q44" s="2">
        <f t="shared" si="0"/>
        <v>3.0883333333333312</v>
      </c>
      <c r="S44" s="2">
        <f t="shared" si="1"/>
        <v>4.5216666666666683</v>
      </c>
      <c r="U44" s="2">
        <f t="shared" si="2"/>
        <v>-1.4333333333333371</v>
      </c>
      <c r="W44" s="2">
        <f t="shared" si="3"/>
        <v>0.37027438807164009</v>
      </c>
      <c r="X44" s="1" t="s">
        <v>32</v>
      </c>
      <c r="Y44" s="7">
        <v>0.11757609445453619</v>
      </c>
      <c r="Z44" s="7">
        <v>4.3535416426006744E-2</v>
      </c>
    </row>
    <row r="45" spans="1:26">
      <c r="A45" s="3">
        <v>30</v>
      </c>
      <c r="B45" s="3" t="s">
        <v>40</v>
      </c>
      <c r="C45" s="2">
        <v>6</v>
      </c>
      <c r="D45" s="2" t="s">
        <v>5</v>
      </c>
      <c r="E45" s="2" t="s">
        <v>12</v>
      </c>
      <c r="F45" s="2">
        <v>24.533000000000001</v>
      </c>
      <c r="G45" s="2">
        <v>21.46466666666667</v>
      </c>
      <c r="I45" s="3">
        <v>36</v>
      </c>
      <c r="J45" s="3" t="s">
        <v>40</v>
      </c>
      <c r="K45" s="2">
        <v>12</v>
      </c>
      <c r="L45" s="2" t="s">
        <v>7</v>
      </c>
      <c r="M45" s="2" t="s">
        <v>12</v>
      </c>
      <c r="N45" s="2">
        <v>24.568999999999999</v>
      </c>
      <c r="O45" s="2">
        <v>19.926333333333332</v>
      </c>
      <c r="Q45" s="2">
        <f t="shared" si="0"/>
        <v>3.0683333333333316</v>
      </c>
      <c r="S45" s="2">
        <f t="shared" si="1"/>
        <v>4.6426666666666669</v>
      </c>
      <c r="U45" s="2">
        <f t="shared" si="2"/>
        <v>-1.5743333333333354</v>
      </c>
      <c r="W45" s="2">
        <f t="shared" si="3"/>
        <v>0.33579826159380832</v>
      </c>
      <c r="X45" s="1" t="s">
        <v>32</v>
      </c>
      <c r="Y45" s="7">
        <v>0.11921739556886479</v>
      </c>
      <c r="Z45" s="7">
        <v>4.0032994183766199E-2</v>
      </c>
    </row>
    <row r="46" spans="1:26">
      <c r="A46" s="3">
        <v>40</v>
      </c>
      <c r="B46" s="3" t="s">
        <v>41</v>
      </c>
      <c r="C46" s="2">
        <v>4</v>
      </c>
      <c r="D46" s="2" t="s">
        <v>5</v>
      </c>
      <c r="E46" s="2" t="s">
        <v>13</v>
      </c>
      <c r="F46" s="2">
        <v>25.655000000000001</v>
      </c>
      <c r="G46" s="2">
        <v>21.46466666666667</v>
      </c>
      <c r="I46" s="3">
        <v>46</v>
      </c>
      <c r="J46" s="3" t="s">
        <v>41</v>
      </c>
      <c r="K46" s="2">
        <v>10</v>
      </c>
      <c r="L46" s="2" t="s">
        <v>7</v>
      </c>
      <c r="M46" s="2" t="s">
        <v>13</v>
      </c>
      <c r="N46" s="2">
        <v>25.803999999999998</v>
      </c>
      <c r="O46" s="2">
        <v>19.926333333333332</v>
      </c>
      <c r="Q46" s="2">
        <f t="shared" si="0"/>
        <v>4.1903333333333315</v>
      </c>
      <c r="S46" s="2">
        <f t="shared" si="1"/>
        <v>5.8776666666666664</v>
      </c>
      <c r="U46" s="2">
        <f t="shared" si="2"/>
        <v>-1.6873333333333349</v>
      </c>
      <c r="W46" s="2">
        <f t="shared" si="3"/>
        <v>0.31050032135021249</v>
      </c>
      <c r="X46" s="1" t="s">
        <v>23</v>
      </c>
      <c r="Y46" s="7">
        <v>5.4775200361524043E-2</v>
      </c>
      <c r="Z46" s="7">
        <v>1.700771731427549E-2</v>
      </c>
    </row>
    <row r="47" spans="1:26">
      <c r="A47" s="3">
        <v>41</v>
      </c>
      <c r="B47" s="3" t="s">
        <v>41</v>
      </c>
      <c r="C47" s="2">
        <v>5</v>
      </c>
      <c r="D47" s="2" t="s">
        <v>5</v>
      </c>
      <c r="E47" s="2" t="s">
        <v>13</v>
      </c>
      <c r="F47" s="2">
        <v>25.587</v>
      </c>
      <c r="G47" s="2">
        <v>21.46466666666667</v>
      </c>
      <c r="I47" s="3">
        <v>47</v>
      </c>
      <c r="J47" s="3" t="s">
        <v>41</v>
      </c>
      <c r="K47" s="2">
        <v>11</v>
      </c>
      <c r="L47" s="2" t="s">
        <v>7</v>
      </c>
      <c r="M47" s="2" t="s">
        <v>13</v>
      </c>
      <c r="N47" s="2">
        <v>25.724</v>
      </c>
      <c r="O47" s="2">
        <v>19.926333333333332</v>
      </c>
      <c r="Q47" s="2">
        <f t="shared" si="0"/>
        <v>4.1223333333333301</v>
      </c>
      <c r="S47" s="2">
        <f t="shared" si="1"/>
        <v>5.7976666666666681</v>
      </c>
      <c r="U47" s="2">
        <f t="shared" si="2"/>
        <v>-1.675333333333338</v>
      </c>
      <c r="W47" s="2">
        <f t="shared" si="3"/>
        <v>0.3130937612790467</v>
      </c>
      <c r="X47" s="1" t="s">
        <v>23</v>
      </c>
      <c r="Y47" s="7">
        <v>5.7418787127907003E-2</v>
      </c>
      <c r="Z47" s="7">
        <v>1.7977464029957316E-2</v>
      </c>
    </row>
    <row r="48" spans="1:26">
      <c r="A48" s="3">
        <v>42</v>
      </c>
      <c r="B48" s="3" t="s">
        <v>41</v>
      </c>
      <c r="C48" s="2">
        <v>6</v>
      </c>
      <c r="D48" s="2" t="s">
        <v>5</v>
      </c>
      <c r="E48" s="2" t="s">
        <v>13</v>
      </c>
      <c r="F48" s="2">
        <v>25.808</v>
      </c>
      <c r="G48" s="2">
        <v>21.46466666666667</v>
      </c>
      <c r="I48" s="3">
        <v>48</v>
      </c>
      <c r="J48" s="3" t="s">
        <v>41</v>
      </c>
      <c r="K48" s="2">
        <v>12</v>
      </c>
      <c r="L48" s="2" t="s">
        <v>7</v>
      </c>
      <c r="M48" s="2" t="s">
        <v>13</v>
      </c>
      <c r="N48" s="2">
        <v>25.748999999999999</v>
      </c>
      <c r="O48" s="2">
        <v>19.926333333333332</v>
      </c>
      <c r="Q48" s="2">
        <f t="shared" si="0"/>
        <v>4.3433333333333302</v>
      </c>
      <c r="S48" s="2">
        <f t="shared" si="1"/>
        <v>5.8226666666666667</v>
      </c>
      <c r="U48" s="2">
        <f t="shared" si="2"/>
        <v>-1.4793333333333365</v>
      </c>
      <c r="W48" s="2">
        <f t="shared" si="3"/>
        <v>0.35865450729094978</v>
      </c>
      <c r="X48" s="1" t="s">
        <v>23</v>
      </c>
      <c r="Y48" s="7">
        <v>4.9263627248702459E-2</v>
      </c>
      <c r="Z48" s="7">
        <v>1.7668621958248396E-2</v>
      </c>
    </row>
    <row r="49" spans="1:26">
      <c r="A49" s="3">
        <v>52</v>
      </c>
      <c r="B49" s="3" t="s">
        <v>42</v>
      </c>
      <c r="C49" s="2">
        <v>4</v>
      </c>
      <c r="D49" s="2" t="s">
        <v>5</v>
      </c>
      <c r="E49" s="2" t="s">
        <v>14</v>
      </c>
      <c r="F49" s="2">
        <v>26.687000000000001</v>
      </c>
      <c r="G49" s="2">
        <v>21.46466666666667</v>
      </c>
      <c r="I49" s="3">
        <v>58</v>
      </c>
      <c r="J49" s="3" t="s">
        <v>42</v>
      </c>
      <c r="K49" s="2">
        <v>10</v>
      </c>
      <c r="L49" s="2" t="s">
        <v>7</v>
      </c>
      <c r="M49" s="2" t="s">
        <v>14</v>
      </c>
      <c r="N49" s="2">
        <v>24.427</v>
      </c>
      <c r="O49" s="2">
        <v>19.926333333333332</v>
      </c>
      <c r="Q49" s="2">
        <f t="shared" si="0"/>
        <v>5.2223333333333315</v>
      </c>
      <c r="S49" s="2">
        <f t="shared" si="1"/>
        <v>4.5006666666666675</v>
      </c>
      <c r="U49" s="2">
        <f t="shared" si="2"/>
        <v>0.72166666666666401</v>
      </c>
      <c r="W49" s="2">
        <f t="shared" si="3"/>
        <v>1.6490860334214497</v>
      </c>
      <c r="X49" s="1" t="s">
        <v>24</v>
      </c>
      <c r="Y49" s="7">
        <v>2.6786811362183072E-2</v>
      </c>
      <c r="Z49" s="7">
        <v>4.4173756497271115E-2</v>
      </c>
    </row>
    <row r="50" spans="1:26">
      <c r="A50" s="3">
        <v>53</v>
      </c>
      <c r="B50" s="3" t="s">
        <v>42</v>
      </c>
      <c r="C50" s="2">
        <v>5</v>
      </c>
      <c r="D50" s="2" t="s">
        <v>5</v>
      </c>
      <c r="E50" s="2" t="s">
        <v>14</v>
      </c>
      <c r="F50" s="2">
        <v>26.77</v>
      </c>
      <c r="G50" s="2">
        <v>21.46466666666667</v>
      </c>
      <c r="I50" s="3">
        <v>59</v>
      </c>
      <c r="J50" s="3" t="s">
        <v>42</v>
      </c>
      <c r="K50" s="2">
        <v>11</v>
      </c>
      <c r="L50" s="2" t="s">
        <v>7</v>
      </c>
      <c r="M50" s="2" t="s">
        <v>14</v>
      </c>
      <c r="N50" s="2">
        <v>24.312000000000001</v>
      </c>
      <c r="O50" s="2">
        <v>19.926333333333332</v>
      </c>
      <c r="Q50" s="2">
        <f t="shared" si="0"/>
        <v>5.3053333333333299</v>
      </c>
      <c r="S50" s="2">
        <f t="shared" si="1"/>
        <v>4.385666666666669</v>
      </c>
      <c r="U50" s="2">
        <f t="shared" si="2"/>
        <v>0.91966666666666086</v>
      </c>
      <c r="W50" s="2">
        <f t="shared" si="3"/>
        <v>1.8916781724910054</v>
      </c>
      <c r="X50" s="1" t="s">
        <v>24</v>
      </c>
      <c r="Y50" s="7">
        <v>2.5289225540244854E-2</v>
      </c>
      <c r="Z50" s="7">
        <v>4.7839075953683259E-2</v>
      </c>
    </row>
    <row r="51" spans="1:26">
      <c r="A51" s="3">
        <v>54</v>
      </c>
      <c r="B51" s="3" t="s">
        <v>42</v>
      </c>
      <c r="C51" s="2">
        <v>6</v>
      </c>
      <c r="D51" s="2" t="s">
        <v>5</v>
      </c>
      <c r="E51" s="2" t="s">
        <v>14</v>
      </c>
      <c r="F51" s="2">
        <v>26.818000000000001</v>
      </c>
      <c r="G51" s="2">
        <v>21.46466666666667</v>
      </c>
      <c r="I51" s="3">
        <v>60</v>
      </c>
      <c r="J51" s="3" t="s">
        <v>42</v>
      </c>
      <c r="K51" s="2">
        <v>12</v>
      </c>
      <c r="L51" s="2" t="s">
        <v>7</v>
      </c>
      <c r="M51" s="2" t="s">
        <v>14</v>
      </c>
      <c r="N51" s="2">
        <v>24.356000000000002</v>
      </c>
      <c r="O51" s="2">
        <v>19.926333333333332</v>
      </c>
      <c r="Q51" s="2">
        <f t="shared" si="0"/>
        <v>5.3533333333333317</v>
      </c>
      <c r="S51" s="2">
        <f t="shared" si="1"/>
        <v>4.4296666666666695</v>
      </c>
      <c r="U51" s="2">
        <f t="shared" si="2"/>
        <v>0.92366666666666219</v>
      </c>
      <c r="W51" s="2">
        <f t="shared" si="3"/>
        <v>1.8969302956823964</v>
      </c>
      <c r="X51" s="1" t="s">
        <v>24</v>
      </c>
      <c r="Y51" s="7">
        <v>2.446166925934691E-2</v>
      </c>
      <c r="Z51" s="7">
        <v>4.6402081501017933E-2</v>
      </c>
    </row>
    <row r="52" spans="1:26">
      <c r="A52" s="3">
        <v>64</v>
      </c>
      <c r="B52" s="3" t="s">
        <v>43</v>
      </c>
      <c r="C52" s="2">
        <v>4</v>
      </c>
      <c r="D52" s="2" t="s">
        <v>5</v>
      </c>
      <c r="E52" s="2" t="s">
        <v>15</v>
      </c>
      <c r="F52" s="2">
        <v>29.295000000000002</v>
      </c>
      <c r="G52" s="2">
        <v>21.46466666666667</v>
      </c>
      <c r="I52" s="3">
        <v>70</v>
      </c>
      <c r="J52" s="3" t="s">
        <v>43</v>
      </c>
      <c r="K52" s="2">
        <v>10</v>
      </c>
      <c r="L52" s="2" t="s">
        <v>7</v>
      </c>
      <c r="M52" s="2" t="s">
        <v>15</v>
      </c>
      <c r="N52" s="2">
        <v>26.344000000000001</v>
      </c>
      <c r="O52" s="2">
        <v>19.926333333333332</v>
      </c>
      <c r="Q52" s="2">
        <f t="shared" si="0"/>
        <v>7.830333333333332</v>
      </c>
      <c r="S52" s="2">
        <f t="shared" si="1"/>
        <v>6.4176666666666691</v>
      </c>
      <c r="U52" s="2">
        <f t="shared" si="2"/>
        <v>1.412666666666663</v>
      </c>
      <c r="W52" s="2">
        <f t="shared" si="3"/>
        <v>2.6622880362571877</v>
      </c>
      <c r="X52" s="1" t="s">
        <v>25</v>
      </c>
      <c r="Y52" s="7">
        <v>4.3937444180110561E-3</v>
      </c>
      <c r="Z52" s="7">
        <v>1.1697413198442631E-2</v>
      </c>
    </row>
    <row r="53" spans="1:26">
      <c r="A53" s="3">
        <v>65</v>
      </c>
      <c r="B53" s="3" t="s">
        <v>43</v>
      </c>
      <c r="C53" s="2">
        <v>5</v>
      </c>
      <c r="D53" s="2" t="s">
        <v>5</v>
      </c>
      <c r="E53" s="2" t="s">
        <v>15</v>
      </c>
      <c r="F53" s="2">
        <v>29.594999999999999</v>
      </c>
      <c r="G53" s="2">
        <v>21.46466666666667</v>
      </c>
      <c r="I53" s="3">
        <v>71</v>
      </c>
      <c r="J53" s="3" t="s">
        <v>43</v>
      </c>
      <c r="K53" s="2">
        <v>11</v>
      </c>
      <c r="L53" s="2" t="s">
        <v>7</v>
      </c>
      <c r="M53" s="2" t="s">
        <v>15</v>
      </c>
      <c r="N53" s="2">
        <v>26.431999999999999</v>
      </c>
      <c r="O53" s="2">
        <v>19.926333333333332</v>
      </c>
      <c r="Q53" s="2">
        <f t="shared" si="0"/>
        <v>8.1303333333333292</v>
      </c>
      <c r="S53" s="2">
        <f t="shared" si="1"/>
        <v>6.5056666666666665</v>
      </c>
      <c r="U53" s="2">
        <f t="shared" si="2"/>
        <v>1.6246666666666627</v>
      </c>
      <c r="W53" s="2">
        <f t="shared" si="3"/>
        <v>3.0837090804147635</v>
      </c>
      <c r="X53" s="1" t="s">
        <v>25</v>
      </c>
      <c r="Y53" s="7">
        <v>3.5688294325063202E-3</v>
      </c>
      <c r="Z53" s="7">
        <v>1.1005231727471204E-2</v>
      </c>
    </row>
    <row r="54" spans="1:26">
      <c r="A54" s="3">
        <v>66</v>
      </c>
      <c r="B54" s="3" t="s">
        <v>43</v>
      </c>
      <c r="C54" s="2">
        <v>6</v>
      </c>
      <c r="D54" s="2" t="s">
        <v>5</v>
      </c>
      <c r="E54" s="2" t="s">
        <v>15</v>
      </c>
      <c r="F54" s="2">
        <v>29.510999999999999</v>
      </c>
      <c r="G54" s="2">
        <v>21.46466666666667</v>
      </c>
      <c r="I54" s="3">
        <v>72</v>
      </c>
      <c r="J54" s="3" t="s">
        <v>43</v>
      </c>
      <c r="K54" s="2">
        <v>12</v>
      </c>
      <c r="L54" s="2" t="s">
        <v>7</v>
      </c>
      <c r="M54" s="2" t="s">
        <v>15</v>
      </c>
      <c r="N54" s="2">
        <v>26.331</v>
      </c>
      <c r="O54" s="2">
        <v>19.926333333333332</v>
      </c>
      <c r="Q54" s="2">
        <f t="shared" si="0"/>
        <v>8.0463333333333296</v>
      </c>
      <c r="S54" s="2">
        <f t="shared" si="1"/>
        <v>6.4046666666666674</v>
      </c>
      <c r="U54" s="2">
        <f t="shared" si="2"/>
        <v>1.6416666666666622</v>
      </c>
      <c r="W54" s="2">
        <f t="shared" si="3"/>
        <v>3.1202609040534841</v>
      </c>
      <c r="X54" s="1" t="s">
        <v>25</v>
      </c>
      <c r="Y54" s="7">
        <v>3.7827906904552141E-3</v>
      </c>
      <c r="Z54" s="7">
        <v>1.1803293899644889E-2</v>
      </c>
    </row>
    <row r="55" spans="1:26">
      <c r="A55" s="3">
        <v>76</v>
      </c>
      <c r="B55" s="3" t="s">
        <v>44</v>
      </c>
      <c r="C55" s="2">
        <v>4</v>
      </c>
      <c r="D55" s="2" t="s">
        <v>5</v>
      </c>
      <c r="E55" s="2" t="s">
        <v>16</v>
      </c>
      <c r="F55" s="2">
        <v>29.292999999999999</v>
      </c>
      <c r="G55" s="2">
        <v>21.46466666666667</v>
      </c>
      <c r="I55" s="3">
        <v>82</v>
      </c>
      <c r="J55" s="3" t="s">
        <v>44</v>
      </c>
      <c r="K55" s="2">
        <v>10</v>
      </c>
      <c r="L55" s="2" t="s">
        <v>7</v>
      </c>
      <c r="M55" s="2" t="s">
        <v>16</v>
      </c>
      <c r="N55" s="2">
        <v>27.132999999999999</v>
      </c>
      <c r="O55" s="2">
        <v>19.926333333333332</v>
      </c>
      <c r="Q55" s="2">
        <f t="shared" si="0"/>
        <v>7.8283333333333296</v>
      </c>
      <c r="S55" s="2">
        <f t="shared" si="1"/>
        <v>7.206666666666667</v>
      </c>
      <c r="U55" s="2">
        <f t="shared" si="2"/>
        <v>0.62166666666666259</v>
      </c>
      <c r="W55" s="2">
        <f t="shared" si="3"/>
        <v>1.5386516750647812</v>
      </c>
      <c r="X55" s="1" t="s">
        <v>26</v>
      </c>
      <c r="Y55" s="7">
        <v>4.3998396650490931E-3</v>
      </c>
      <c r="Z55" s="7">
        <v>6.7698206706442512E-3</v>
      </c>
    </row>
    <row r="56" spans="1:26">
      <c r="A56" s="3">
        <v>77</v>
      </c>
      <c r="B56" s="3" t="s">
        <v>44</v>
      </c>
      <c r="C56" s="2">
        <v>5</v>
      </c>
      <c r="D56" s="2" t="s">
        <v>5</v>
      </c>
      <c r="E56" s="2" t="s">
        <v>16</v>
      </c>
      <c r="F56" s="2">
        <v>29.37</v>
      </c>
      <c r="G56" s="2">
        <v>21.46466666666667</v>
      </c>
      <c r="I56" s="3">
        <v>83</v>
      </c>
      <c r="J56" s="3" t="s">
        <v>44</v>
      </c>
      <c r="K56" s="2">
        <v>11</v>
      </c>
      <c r="L56" s="2" t="s">
        <v>7</v>
      </c>
      <c r="M56" s="2" t="s">
        <v>16</v>
      </c>
      <c r="N56" s="2">
        <v>27.242999999999999</v>
      </c>
      <c r="O56" s="2">
        <v>19.926333333333332</v>
      </c>
      <c r="Q56" s="2">
        <f t="shared" si="0"/>
        <v>7.9053333333333313</v>
      </c>
      <c r="S56" s="2">
        <f t="shared" si="1"/>
        <v>7.3166666666666664</v>
      </c>
      <c r="U56" s="2">
        <f t="shared" si="2"/>
        <v>0.5886666666666649</v>
      </c>
      <c r="W56" s="2">
        <f t="shared" si="3"/>
        <v>1.503856246672463</v>
      </c>
      <c r="X56" s="1" t="s">
        <v>26</v>
      </c>
      <c r="Y56" s="7">
        <v>4.1711666447091216E-3</v>
      </c>
      <c r="Z56" s="7">
        <v>6.2728350145576303E-3</v>
      </c>
    </row>
    <row r="57" spans="1:26">
      <c r="A57" s="3">
        <v>78</v>
      </c>
      <c r="B57" s="3" t="s">
        <v>44</v>
      </c>
      <c r="C57" s="2">
        <v>6</v>
      </c>
      <c r="D57" s="2" t="s">
        <v>5</v>
      </c>
      <c r="E57" s="2" t="s">
        <v>16</v>
      </c>
      <c r="F57" s="2">
        <v>29.466999999999999</v>
      </c>
      <c r="G57" s="2">
        <v>21.46466666666667</v>
      </c>
      <c r="I57" s="3">
        <v>84</v>
      </c>
      <c r="J57" s="3" t="s">
        <v>44</v>
      </c>
      <c r="K57" s="2">
        <v>12</v>
      </c>
      <c r="L57" s="2" t="s">
        <v>7</v>
      </c>
      <c r="M57" s="2" t="s">
        <v>16</v>
      </c>
      <c r="N57" s="2">
        <v>27.279</v>
      </c>
      <c r="O57" s="2">
        <v>19.926333333333332</v>
      </c>
      <c r="Q57" s="2">
        <f t="shared" si="0"/>
        <v>8.0023333333333291</v>
      </c>
      <c r="S57" s="2">
        <f t="shared" si="1"/>
        <v>7.3526666666666678</v>
      </c>
      <c r="U57" s="2">
        <f t="shared" si="2"/>
        <v>0.64966666666666129</v>
      </c>
      <c r="W57" s="2">
        <f t="shared" si="3"/>
        <v>1.5688056828373342</v>
      </c>
      <c r="X57" s="1" t="s">
        <v>26</v>
      </c>
      <c r="Y57" s="7">
        <v>3.8999373584911929E-3</v>
      </c>
      <c r="Z57" s="7">
        <v>6.1182438907106057E-3</v>
      </c>
    </row>
    <row r="58" spans="1:26">
      <c r="A58" s="3">
        <v>88</v>
      </c>
      <c r="B58" s="3" t="s">
        <v>45</v>
      </c>
      <c r="C58" s="2">
        <v>4</v>
      </c>
      <c r="D58" s="2" t="s">
        <v>5</v>
      </c>
      <c r="E58" s="2" t="s">
        <v>17</v>
      </c>
      <c r="F58" s="2">
        <v>34.359000000000002</v>
      </c>
      <c r="G58" s="2">
        <v>21.46466666666667</v>
      </c>
      <c r="I58" s="3">
        <v>94</v>
      </c>
      <c r="J58" s="3" t="s">
        <v>45</v>
      </c>
      <c r="K58" s="2">
        <v>10</v>
      </c>
      <c r="L58" s="2" t="s">
        <v>7</v>
      </c>
      <c r="M58" s="2" t="s">
        <v>17</v>
      </c>
      <c r="N58" s="2">
        <v>33.423999999999999</v>
      </c>
      <c r="O58" s="2">
        <v>19.926333333333332</v>
      </c>
      <c r="Q58" s="2">
        <f t="shared" si="0"/>
        <v>12.894333333333332</v>
      </c>
      <c r="S58" s="2">
        <f t="shared" si="1"/>
        <v>13.497666666666667</v>
      </c>
      <c r="U58" s="2">
        <f t="shared" si="2"/>
        <v>-0.60333333333333528</v>
      </c>
      <c r="W58" s="2">
        <f t="shared" si="3"/>
        <v>0.65823135972181612</v>
      </c>
      <c r="X58" s="1" t="s">
        <v>27</v>
      </c>
      <c r="Y58" s="7">
        <v>1.3134661733875036E-4</v>
      </c>
      <c r="Z58" s="7">
        <v>8.6456462525746707E-5</v>
      </c>
    </row>
    <row r="59" spans="1:26">
      <c r="A59" s="3">
        <v>89</v>
      </c>
      <c r="B59" s="3" t="s">
        <v>45</v>
      </c>
      <c r="C59" s="2">
        <v>5</v>
      </c>
      <c r="D59" s="2" t="s">
        <v>5</v>
      </c>
      <c r="E59" s="2" t="s">
        <v>17</v>
      </c>
      <c r="F59" s="2">
        <v>33.652000000000001</v>
      </c>
      <c r="G59" s="2">
        <v>21.46466666666667</v>
      </c>
      <c r="I59" s="3">
        <v>95</v>
      </c>
      <c r="J59" s="3" t="s">
        <v>45</v>
      </c>
      <c r="K59" s="2">
        <v>11</v>
      </c>
      <c r="L59" s="2" t="s">
        <v>7</v>
      </c>
      <c r="M59" s="2" t="s">
        <v>17</v>
      </c>
      <c r="N59" s="2">
        <v>33.554000000000002</v>
      </c>
      <c r="O59" s="2">
        <v>19.926333333333332</v>
      </c>
      <c r="Q59" s="2">
        <f t="shared" si="0"/>
        <v>12.187333333333331</v>
      </c>
      <c r="S59" s="2">
        <f t="shared" si="1"/>
        <v>13.62766666666667</v>
      </c>
      <c r="U59" s="2">
        <f t="shared" si="2"/>
        <v>-1.4403333333333386</v>
      </c>
      <c r="W59" s="2">
        <f t="shared" si="3"/>
        <v>0.36848215703047438</v>
      </c>
      <c r="X59" s="1" t="s">
        <v>27</v>
      </c>
      <c r="Y59" s="7">
        <v>2.1441101834700986E-4</v>
      </c>
      <c r="Z59" s="7">
        <v>7.9006634531606737E-5</v>
      </c>
    </row>
    <row r="60" spans="1:26">
      <c r="A60" s="3">
        <v>90</v>
      </c>
      <c r="B60" s="3" t="s">
        <v>45</v>
      </c>
      <c r="C60" s="2">
        <v>6</v>
      </c>
      <c r="D60" s="2" t="s">
        <v>5</v>
      </c>
      <c r="E60" s="2" t="s">
        <v>17</v>
      </c>
      <c r="F60" s="2">
        <v>34.238</v>
      </c>
      <c r="G60" s="2">
        <v>21.46466666666667</v>
      </c>
      <c r="I60" s="3">
        <v>96</v>
      </c>
      <c r="J60" s="3" t="s">
        <v>45</v>
      </c>
      <c r="K60" s="2">
        <v>12</v>
      </c>
      <c r="L60" s="2" t="s">
        <v>7</v>
      </c>
      <c r="M60" s="2" t="s">
        <v>17</v>
      </c>
      <c r="N60" s="2">
        <v>33.151000000000003</v>
      </c>
      <c r="O60" s="2">
        <v>19.926333333333332</v>
      </c>
      <c r="Q60" s="2">
        <f t="shared" si="0"/>
        <v>12.77333333333333</v>
      </c>
      <c r="S60" s="2">
        <f t="shared" si="1"/>
        <v>13.224666666666671</v>
      </c>
      <c r="U60" s="2">
        <f t="shared" si="2"/>
        <v>-0.45133333333334136</v>
      </c>
      <c r="W60" s="2">
        <f t="shared" si="3"/>
        <v>0.73136660926141772</v>
      </c>
      <c r="X60" s="1" t="s">
        <v>27</v>
      </c>
      <c r="Y60" s="7">
        <v>1.4283792153394983E-4</v>
      </c>
      <c r="Z60" s="7">
        <v>1.0446688634623337E-4</v>
      </c>
    </row>
    <row r="61" spans="1:26">
      <c r="A61" s="3">
        <v>4</v>
      </c>
      <c r="B61" s="3" t="s">
        <v>38</v>
      </c>
      <c r="C61" s="2">
        <v>4</v>
      </c>
      <c r="D61" s="2" t="s">
        <v>5</v>
      </c>
      <c r="E61" s="2" t="s">
        <v>4</v>
      </c>
      <c r="F61" s="2" t="s">
        <v>46</v>
      </c>
      <c r="G61" s="2">
        <v>21.46466666666667</v>
      </c>
      <c r="I61" s="3">
        <v>10</v>
      </c>
      <c r="J61" s="3" t="s">
        <v>38</v>
      </c>
      <c r="K61" s="2">
        <v>10</v>
      </c>
      <c r="L61" s="2" t="s">
        <v>7</v>
      </c>
      <c r="M61" s="2" t="s">
        <v>4</v>
      </c>
      <c r="N61" s="2">
        <v>24.125</v>
      </c>
      <c r="O61" s="2">
        <v>19.926333333333332</v>
      </c>
      <c r="Q61" s="2" t="e">
        <f t="shared" si="0"/>
        <v>#VALUE!</v>
      </c>
      <c r="S61" s="2">
        <f t="shared" si="1"/>
        <v>4.1986666666666679</v>
      </c>
      <c r="U61" s="2" t="e">
        <f t="shared" si="2"/>
        <v>#VALUE!</v>
      </c>
      <c r="W61" s="2" t="e">
        <f t="shared" si="3"/>
        <v>#VALUE!</v>
      </c>
      <c r="X61" s="1" t="s">
        <v>28</v>
      </c>
      <c r="Y61" s="7" t="e">
        <v>#VALUE!</v>
      </c>
      <c r="Z61" s="7">
        <v>5.4459718422132618E-2</v>
      </c>
    </row>
    <row r="62" spans="1:26">
      <c r="A62" s="3">
        <v>5</v>
      </c>
      <c r="B62" s="3" t="s">
        <v>38</v>
      </c>
      <c r="C62" s="2">
        <v>5</v>
      </c>
      <c r="D62" s="2" t="s">
        <v>5</v>
      </c>
      <c r="E62" s="2" t="s">
        <v>4</v>
      </c>
      <c r="F62" s="2" t="s">
        <v>46</v>
      </c>
      <c r="G62" s="2">
        <v>21.46466666666667</v>
      </c>
      <c r="I62" s="3">
        <v>11</v>
      </c>
      <c r="J62" s="3" t="s">
        <v>38</v>
      </c>
      <c r="K62" s="2">
        <v>11</v>
      </c>
      <c r="L62" s="2" t="s">
        <v>7</v>
      </c>
      <c r="M62" s="2" t="s">
        <v>4</v>
      </c>
      <c r="N62" s="2">
        <v>23.815000000000001</v>
      </c>
      <c r="O62" s="2">
        <v>19.926333333333332</v>
      </c>
      <c r="Q62" s="2" t="e">
        <f t="shared" si="0"/>
        <v>#VALUE!</v>
      </c>
      <c r="S62" s="2">
        <f t="shared" si="1"/>
        <v>3.8886666666666692</v>
      </c>
      <c r="U62" s="2" t="e">
        <f t="shared" si="2"/>
        <v>#VALUE!</v>
      </c>
      <c r="W62" s="2" t="e">
        <f t="shared" si="3"/>
        <v>#VALUE!</v>
      </c>
      <c r="X62" s="1" t="s">
        <v>28</v>
      </c>
      <c r="Y62" s="7" t="e">
        <v>#VALUE!</v>
      </c>
      <c r="Z62" s="7">
        <v>6.7514132264426804E-2</v>
      </c>
    </row>
    <row r="63" spans="1:26">
      <c r="A63" s="3">
        <v>6</v>
      </c>
      <c r="B63" s="3" t="s">
        <v>38</v>
      </c>
      <c r="C63" s="2">
        <v>6</v>
      </c>
      <c r="D63" s="2" t="s">
        <v>5</v>
      </c>
      <c r="E63" s="2" t="s">
        <v>4</v>
      </c>
      <c r="F63" s="2">
        <v>27.446999999999999</v>
      </c>
      <c r="G63" s="2">
        <v>21.46466666666667</v>
      </c>
      <c r="I63" s="3">
        <v>12</v>
      </c>
      <c r="J63" s="3" t="s">
        <v>38</v>
      </c>
      <c r="K63" s="2">
        <v>12</v>
      </c>
      <c r="L63" s="2" t="s">
        <v>7</v>
      </c>
      <c r="M63" s="2" t="s">
        <v>4</v>
      </c>
      <c r="N63" s="2">
        <v>23.914999999999999</v>
      </c>
      <c r="O63" s="2">
        <v>19.926333333333332</v>
      </c>
      <c r="Q63" s="2">
        <f t="shared" si="0"/>
        <v>5.9823333333333295</v>
      </c>
      <c r="S63" s="2">
        <f t="shared" si="1"/>
        <v>3.988666666666667</v>
      </c>
      <c r="U63" s="2">
        <f t="shared" si="2"/>
        <v>1.9936666666666625</v>
      </c>
      <c r="W63" s="2">
        <f t="shared" si="3"/>
        <v>3.9824787580957</v>
      </c>
      <c r="X63" s="1" t="s">
        <v>28</v>
      </c>
      <c r="Y63" s="7">
        <v>1.5817513820917718E-2</v>
      </c>
      <c r="Z63" s="7">
        <v>6.299291279768994E-2</v>
      </c>
    </row>
    <row r="64" spans="1:26">
      <c r="A64" s="3">
        <v>16</v>
      </c>
      <c r="B64" s="3" t="s">
        <v>39</v>
      </c>
      <c r="C64" s="2">
        <v>4</v>
      </c>
      <c r="D64" s="2" t="s">
        <v>5</v>
      </c>
      <c r="E64" s="2" t="s">
        <v>8</v>
      </c>
      <c r="F64" s="2">
        <v>22.050999999999998</v>
      </c>
      <c r="G64" s="2">
        <v>21.46466666666667</v>
      </c>
      <c r="I64" s="3">
        <v>22</v>
      </c>
      <c r="J64" s="3" t="s">
        <v>39</v>
      </c>
      <c r="K64" s="2">
        <v>10</v>
      </c>
      <c r="L64" s="2" t="s">
        <v>7</v>
      </c>
      <c r="M64" s="2" t="s">
        <v>8</v>
      </c>
      <c r="N64" s="2">
        <v>28.824000000000002</v>
      </c>
      <c r="O64" s="2">
        <v>19.926333333333332</v>
      </c>
      <c r="Q64" s="2">
        <f t="shared" si="0"/>
        <v>0.58633333333332871</v>
      </c>
      <c r="S64" s="2">
        <f t="shared" si="1"/>
        <v>8.8976666666666695</v>
      </c>
      <c r="U64" s="2">
        <f t="shared" si="2"/>
        <v>-8.3113333333333408</v>
      </c>
      <c r="W64" s="2">
        <f t="shared" si="3"/>
        <v>3.1480336262753399E-3</v>
      </c>
      <c r="X64" s="1" t="s">
        <v>29</v>
      </c>
      <c r="Y64" s="7">
        <v>0.66603350835083053</v>
      </c>
      <c r="Z64" s="7">
        <v>2.0966958805145506E-3</v>
      </c>
    </row>
    <row r="65" spans="1:26">
      <c r="A65" s="3">
        <v>17</v>
      </c>
      <c r="B65" s="3" t="s">
        <v>39</v>
      </c>
      <c r="C65" s="2">
        <v>5</v>
      </c>
      <c r="D65" s="2" t="s">
        <v>5</v>
      </c>
      <c r="E65" s="2" t="s">
        <v>8</v>
      </c>
      <c r="F65" s="2">
        <v>29.713000000000001</v>
      </c>
      <c r="G65" s="2">
        <v>21.46466666666667</v>
      </c>
      <c r="I65" s="3">
        <v>23</v>
      </c>
      <c r="J65" s="3" t="s">
        <v>39</v>
      </c>
      <c r="K65" s="2">
        <v>11</v>
      </c>
      <c r="L65" s="2" t="s">
        <v>7</v>
      </c>
      <c r="M65" s="2" t="s">
        <v>8</v>
      </c>
      <c r="N65" s="2">
        <v>28.937000000000001</v>
      </c>
      <c r="O65" s="2">
        <v>19.926333333333332</v>
      </c>
      <c r="Q65" s="2">
        <f t="shared" si="0"/>
        <v>8.2483333333333313</v>
      </c>
      <c r="S65" s="2">
        <f t="shared" si="1"/>
        <v>9.010666666666669</v>
      </c>
      <c r="U65" s="2">
        <f t="shared" si="2"/>
        <v>-0.76233333333333775</v>
      </c>
      <c r="W65" s="2">
        <f t="shared" si="3"/>
        <v>0.58954206725285585</v>
      </c>
      <c r="X65" s="1" t="s">
        <v>29</v>
      </c>
      <c r="Y65" s="7">
        <v>3.2885485087064126E-3</v>
      </c>
      <c r="Z65" s="7">
        <v>1.938737686084075E-3</v>
      </c>
    </row>
    <row r="66" spans="1:26">
      <c r="A66" s="3">
        <v>18</v>
      </c>
      <c r="B66" s="3" t="s">
        <v>39</v>
      </c>
      <c r="C66" s="2">
        <v>6</v>
      </c>
      <c r="D66" s="2" t="s">
        <v>5</v>
      </c>
      <c r="E66" s="2" t="s">
        <v>8</v>
      </c>
      <c r="F66" s="2">
        <v>23.698</v>
      </c>
      <c r="G66" s="2">
        <v>21.46466666666667</v>
      </c>
      <c r="I66" s="3">
        <v>24</v>
      </c>
      <c r="J66" s="3" t="s">
        <v>39</v>
      </c>
      <c r="K66" s="2">
        <v>12</v>
      </c>
      <c r="L66" s="2" t="s">
        <v>7</v>
      </c>
      <c r="M66" s="2" t="s">
        <v>8</v>
      </c>
      <c r="N66" s="2">
        <v>29.055</v>
      </c>
      <c r="O66" s="2">
        <v>19.926333333333332</v>
      </c>
      <c r="Q66" s="2">
        <f t="shared" si="0"/>
        <v>2.2333333333333307</v>
      </c>
      <c r="S66" s="2">
        <f t="shared" si="1"/>
        <v>9.1286666666666676</v>
      </c>
      <c r="U66" s="2">
        <f t="shared" si="2"/>
        <v>-6.8953333333333369</v>
      </c>
      <c r="W66" s="2">
        <f t="shared" si="3"/>
        <v>8.4003588062025892E-3</v>
      </c>
      <c r="X66" s="1" t="s">
        <v>29</v>
      </c>
      <c r="Y66" s="7">
        <v>0.21266679023771431</v>
      </c>
      <c r="Z66" s="7">
        <v>1.7864773441602221E-3</v>
      </c>
    </row>
    <row r="67" spans="1:26">
      <c r="A67" s="3">
        <v>28</v>
      </c>
      <c r="B67" s="3" t="s">
        <v>40</v>
      </c>
      <c r="C67" s="2">
        <v>4</v>
      </c>
      <c r="D67" s="2" t="s">
        <v>5</v>
      </c>
      <c r="E67" s="2" t="s">
        <v>9</v>
      </c>
      <c r="F67" s="2">
        <v>22.164000000000001</v>
      </c>
      <c r="G67" s="2">
        <v>21.46466666666667</v>
      </c>
      <c r="I67" s="3">
        <v>34</v>
      </c>
      <c r="J67" s="3" t="s">
        <v>40</v>
      </c>
      <c r="K67" s="2">
        <v>10</v>
      </c>
      <c r="L67" s="2" t="s">
        <v>7</v>
      </c>
      <c r="M67" s="2" t="s">
        <v>9</v>
      </c>
      <c r="N67" s="2">
        <v>24.43</v>
      </c>
      <c r="O67" s="2">
        <v>19.926333333333332</v>
      </c>
      <c r="Q67" s="2">
        <f t="shared" si="0"/>
        <v>0.69933333333333181</v>
      </c>
      <c r="S67" s="2">
        <f t="shared" si="1"/>
        <v>4.5036666666666676</v>
      </c>
      <c r="U67" s="2">
        <f t="shared" si="2"/>
        <v>-3.8043333333333358</v>
      </c>
      <c r="W67" s="2">
        <f t="shared" si="3"/>
        <v>7.1578328607476163E-2</v>
      </c>
      <c r="X67" s="1" t="s">
        <v>30</v>
      </c>
      <c r="Y67" s="7">
        <v>0.61585672716524575</v>
      </c>
      <c r="Z67" s="7">
        <v>4.4081995192158767E-2</v>
      </c>
    </row>
    <row r="68" spans="1:26">
      <c r="A68" s="3">
        <v>29</v>
      </c>
      <c r="B68" s="3" t="s">
        <v>40</v>
      </c>
      <c r="C68" s="2">
        <v>5</v>
      </c>
      <c r="D68" s="2" t="s">
        <v>5</v>
      </c>
      <c r="E68" s="2" t="s">
        <v>9</v>
      </c>
      <c r="F68" s="2">
        <v>25.518999999999998</v>
      </c>
      <c r="G68" s="2">
        <v>21.46466666666667</v>
      </c>
      <c r="I68" s="3">
        <v>35</v>
      </c>
      <c r="J68" s="3" t="s">
        <v>40</v>
      </c>
      <c r="K68" s="2">
        <v>11</v>
      </c>
      <c r="L68" s="2" t="s">
        <v>7</v>
      </c>
      <c r="M68" s="2" t="s">
        <v>9</v>
      </c>
      <c r="N68" s="2" t="s">
        <v>46</v>
      </c>
      <c r="O68" s="2">
        <v>19.926333333333332</v>
      </c>
      <c r="Q68" s="2">
        <f t="shared" si="0"/>
        <v>4.0543333333333287</v>
      </c>
      <c r="S68" s="2" t="e">
        <f t="shared" si="1"/>
        <v>#VALUE!</v>
      </c>
      <c r="U68" s="2" t="e">
        <f t="shared" si="2"/>
        <v>#VALUE!</v>
      </c>
      <c r="W68" s="2" t="e">
        <f t="shared" si="3"/>
        <v>#VALUE!</v>
      </c>
      <c r="X68" s="1" t="s">
        <v>30</v>
      </c>
      <c r="Y68" s="7">
        <v>6.0189959935879417E-2</v>
      </c>
      <c r="Z68" s="7" t="e">
        <v>#VALUE!</v>
      </c>
    </row>
    <row r="69" spans="1:26">
      <c r="A69" s="3">
        <v>30</v>
      </c>
      <c r="B69" s="3" t="s">
        <v>40</v>
      </c>
      <c r="C69" s="2">
        <v>6</v>
      </c>
      <c r="D69" s="2" t="s">
        <v>5</v>
      </c>
      <c r="E69" s="2" t="s">
        <v>9</v>
      </c>
      <c r="F69" s="2">
        <v>25.411000000000001</v>
      </c>
      <c r="G69" s="2">
        <v>21.46466666666667</v>
      </c>
      <c r="I69" s="3">
        <v>36</v>
      </c>
      <c r="J69" s="3" t="s">
        <v>40</v>
      </c>
      <c r="K69" s="2">
        <v>12</v>
      </c>
      <c r="L69" s="2" t="s">
        <v>7</v>
      </c>
      <c r="M69" s="2" t="s">
        <v>9</v>
      </c>
      <c r="N69" s="2">
        <v>23.401</v>
      </c>
      <c r="O69" s="2">
        <v>19.926333333333332</v>
      </c>
      <c r="Q69" s="2">
        <f t="shared" si="0"/>
        <v>3.9463333333333317</v>
      </c>
      <c r="S69" s="2">
        <f t="shared" si="1"/>
        <v>3.4746666666666677</v>
      </c>
      <c r="U69" s="2">
        <f t="shared" si="2"/>
        <v>0.47166666666666401</v>
      </c>
      <c r="W69" s="2">
        <f t="shared" si="3"/>
        <v>1.3867105339490644</v>
      </c>
      <c r="X69" s="1" t="s">
        <v>30</v>
      </c>
      <c r="Y69" s="7">
        <v>6.4868714821747733E-2</v>
      </c>
      <c r="Z69" s="7">
        <v>8.9954130167055377E-2</v>
      </c>
    </row>
  </sheetData>
  <sortState xmlns:xlrd2="http://schemas.microsoft.com/office/spreadsheetml/2017/richdata2" ref="A2:F136">
    <sortCondition ref="D2:D136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4CF1-7B23-974D-8DA8-750D8AA973B6}">
  <dimension ref="A4:C68"/>
  <sheetViews>
    <sheetView topLeftCell="A33" workbookViewId="0">
      <selection activeCell="G47" sqref="G47"/>
    </sheetView>
  </sheetViews>
  <sheetFormatPr baseColWidth="10" defaultColWidth="10.83203125" defaultRowHeight="16"/>
  <cols>
    <col min="2" max="2" width="21.6640625" bestFit="1" customWidth="1"/>
    <col min="3" max="3" width="13" bestFit="1" customWidth="1"/>
  </cols>
  <sheetData>
    <row r="4" spans="1:3">
      <c r="B4" t="s">
        <v>31</v>
      </c>
      <c r="C4">
        <v>0.86793966778781739</v>
      </c>
    </row>
    <row r="5" spans="1:3">
      <c r="B5" t="s">
        <v>31</v>
      </c>
      <c r="C5">
        <v>1.8604694060350997</v>
      </c>
    </row>
    <row r="6" spans="1:3">
      <c r="B6" t="s">
        <v>31</v>
      </c>
      <c r="C6">
        <v>1.2471773794606216</v>
      </c>
    </row>
    <row r="7" spans="1:3">
      <c r="B7" t="s">
        <v>32</v>
      </c>
      <c r="C7">
        <v>0.5778098354339648</v>
      </c>
    </row>
    <row r="8" spans="1:3">
      <c r="B8" t="s">
        <v>32</v>
      </c>
      <c r="C8">
        <v>0.65187473518328687</v>
      </c>
    </row>
    <row r="9" spans="1:3">
      <c r="B9" t="s">
        <v>32</v>
      </c>
      <c r="C9">
        <v>0.73594337241435426</v>
      </c>
    </row>
    <row r="10" spans="1:3">
      <c r="B10" t="s">
        <v>23</v>
      </c>
      <c r="C10">
        <v>0.50440926017218357</v>
      </c>
    </row>
    <row r="11" spans="1:3">
      <c r="B11" t="s">
        <v>23</v>
      </c>
      <c r="C11">
        <v>0.75244950086971718</v>
      </c>
    </row>
    <row r="12" spans="1:3">
      <c r="B12" t="s">
        <v>23</v>
      </c>
      <c r="C12">
        <v>0.49677575382935535</v>
      </c>
    </row>
    <row r="13" spans="1:3">
      <c r="B13" t="s">
        <v>24</v>
      </c>
      <c r="C13">
        <v>1.3320670167016579</v>
      </c>
    </row>
    <row r="14" spans="1:3">
      <c r="B14" t="s">
        <v>24</v>
      </c>
      <c r="C14">
        <v>1.3619433225602189</v>
      </c>
    </row>
    <row r="15" spans="1:3">
      <c r="A15" t="s">
        <v>49</v>
      </c>
      <c r="B15" t="s">
        <v>24</v>
      </c>
      <c r="C15">
        <v>1.3515985113829043</v>
      </c>
    </row>
    <row r="16" spans="1:3">
      <c r="B16" t="s">
        <v>25</v>
      </c>
      <c r="C16">
        <v>0.41255737225043659</v>
      </c>
    </row>
    <row r="17" spans="2:3">
      <c r="B17" t="s">
        <v>25</v>
      </c>
      <c r="C17">
        <v>0.39410901798961967</v>
      </c>
    </row>
    <row r="18" spans="2:3">
      <c r="B18" t="s">
        <v>25</v>
      </c>
      <c r="C18">
        <v>0.41802660414425591</v>
      </c>
    </row>
    <row r="19" spans="2:3">
      <c r="B19" t="s">
        <v>26</v>
      </c>
      <c r="C19">
        <v>1.3963558684821313</v>
      </c>
    </row>
    <row r="20" spans="2:3">
      <c r="B20" t="s">
        <v>26</v>
      </c>
      <c r="C20">
        <v>1.4060682916223499</v>
      </c>
    </row>
    <row r="21" spans="2:3">
      <c r="B21" t="s">
        <v>26</v>
      </c>
      <c r="C21">
        <v>1.3809553428466665</v>
      </c>
    </row>
    <row r="22" spans="2:3">
      <c r="B22" t="s">
        <v>27</v>
      </c>
      <c r="C22">
        <v>2.0772382072102151</v>
      </c>
    </row>
    <row r="23" spans="2:3">
      <c r="B23" t="s">
        <v>27</v>
      </c>
      <c r="C23">
        <v>0.77467692190527704</v>
      </c>
    </row>
    <row r="24" spans="2:3">
      <c r="B24" t="s">
        <v>27</v>
      </c>
      <c r="C24">
        <v>1.4718867448287047</v>
      </c>
    </row>
    <row r="25" spans="2:3">
      <c r="B25" t="s">
        <v>28</v>
      </c>
      <c r="C25">
        <v>1.2480421566191549</v>
      </c>
    </row>
    <row r="26" spans="2:3">
      <c r="B26" t="s">
        <v>28</v>
      </c>
      <c r="C26">
        <v>1.5195737197583501</v>
      </c>
    </row>
    <row r="27" spans="2:3">
      <c r="B27" t="s">
        <v>28</v>
      </c>
      <c r="C27">
        <v>1.5461354005070622</v>
      </c>
    </row>
    <row r="28" spans="2:3">
      <c r="B28" t="s">
        <v>29</v>
      </c>
      <c r="C28">
        <v>0.54</v>
      </c>
    </row>
    <row r="29" spans="2:3">
      <c r="B29" t="s">
        <v>29</v>
      </c>
      <c r="C29">
        <v>0.53911563929434192</v>
      </c>
    </row>
    <row r="30" spans="2:3">
      <c r="B30" t="s">
        <v>29</v>
      </c>
      <c r="C30">
        <v>0.53836878412376243</v>
      </c>
    </row>
    <row r="31" spans="2:3">
      <c r="B31" t="s">
        <v>30</v>
      </c>
      <c r="C31">
        <v>1.2283031493691781</v>
      </c>
    </row>
    <row r="32" spans="2:3">
      <c r="B32" t="s">
        <v>30</v>
      </c>
      <c r="C32">
        <v>1.252375045116193</v>
      </c>
    </row>
    <row r="33" spans="2:3">
      <c r="B33" t="s">
        <v>30</v>
      </c>
      <c r="C33">
        <v>1.1287035887732266</v>
      </c>
    </row>
    <row r="39" spans="2:3">
      <c r="B39" t="s">
        <v>31</v>
      </c>
      <c r="C39">
        <v>22.038596174883001</v>
      </c>
    </row>
    <row r="40" spans="2:3">
      <c r="B40" t="s">
        <v>31</v>
      </c>
      <c r="C40">
        <v>20.687202599259351</v>
      </c>
    </row>
    <row r="41" spans="2:3">
      <c r="B41" t="s">
        <v>31</v>
      </c>
      <c r="C41">
        <v>14.376759905140144</v>
      </c>
    </row>
    <row r="42" spans="2:3">
      <c r="B42" t="s">
        <v>32</v>
      </c>
      <c r="C42">
        <v>0.36644451285516599</v>
      </c>
    </row>
    <row r="43" spans="2:3">
      <c r="B43" t="s">
        <v>32</v>
      </c>
      <c r="C43">
        <v>0.37027438807164009</v>
      </c>
    </row>
    <row r="44" spans="2:3">
      <c r="B44" t="s">
        <v>32</v>
      </c>
      <c r="C44">
        <v>0.33579826159380832</v>
      </c>
    </row>
    <row r="45" spans="2:3">
      <c r="B45" t="s">
        <v>23</v>
      </c>
      <c r="C45">
        <v>0.31050032135021249</v>
      </c>
    </row>
    <row r="46" spans="2:3">
      <c r="B46" t="s">
        <v>23</v>
      </c>
      <c r="C46">
        <v>0.3130937612790467</v>
      </c>
    </row>
    <row r="47" spans="2:3">
      <c r="B47" t="s">
        <v>23</v>
      </c>
      <c r="C47">
        <v>0.35865450729094978</v>
      </c>
    </row>
    <row r="48" spans="2:3">
      <c r="B48" t="s">
        <v>24</v>
      </c>
      <c r="C48">
        <v>1.6490860334214497</v>
      </c>
    </row>
    <row r="49" spans="1:3">
      <c r="B49" t="s">
        <v>24</v>
      </c>
      <c r="C49">
        <v>1.8916781724910054</v>
      </c>
    </row>
    <row r="50" spans="1:3">
      <c r="B50" t="s">
        <v>24</v>
      </c>
      <c r="C50">
        <v>1.8969302956823964</v>
      </c>
    </row>
    <row r="51" spans="1:3">
      <c r="B51" t="s">
        <v>25</v>
      </c>
      <c r="C51">
        <v>2.6622880362571877</v>
      </c>
    </row>
    <row r="52" spans="1:3">
      <c r="A52" t="s">
        <v>50</v>
      </c>
      <c r="B52" t="s">
        <v>25</v>
      </c>
      <c r="C52">
        <v>3.0837090804147635</v>
      </c>
    </row>
    <row r="53" spans="1:3">
      <c r="B53" t="s">
        <v>25</v>
      </c>
      <c r="C53">
        <v>3.1202609040534841</v>
      </c>
    </row>
    <row r="54" spans="1:3">
      <c r="B54" t="s">
        <v>26</v>
      </c>
      <c r="C54">
        <v>1.5386516750647812</v>
      </c>
    </row>
    <row r="55" spans="1:3">
      <c r="B55" t="s">
        <v>26</v>
      </c>
      <c r="C55">
        <v>1.503856246672463</v>
      </c>
    </row>
    <row r="56" spans="1:3">
      <c r="B56" t="s">
        <v>26</v>
      </c>
      <c r="C56">
        <v>1.5688056828373342</v>
      </c>
    </row>
    <row r="57" spans="1:3">
      <c r="B57" t="s">
        <v>27</v>
      </c>
      <c r="C57">
        <v>0.65823135972181612</v>
      </c>
    </row>
    <row r="58" spans="1:3">
      <c r="B58" t="s">
        <v>27</v>
      </c>
      <c r="C58">
        <v>0.36848215703047438</v>
      </c>
    </row>
    <row r="59" spans="1:3">
      <c r="B59" t="s">
        <v>27</v>
      </c>
      <c r="C59">
        <v>0.73136660926141772</v>
      </c>
    </row>
    <row r="60" spans="1:3">
      <c r="B60" t="s">
        <v>28</v>
      </c>
      <c r="C60">
        <v>3.25</v>
      </c>
    </row>
    <row r="61" spans="1:3">
      <c r="B61" t="s">
        <v>28</v>
      </c>
      <c r="C61">
        <v>4.25</v>
      </c>
    </row>
    <row r="62" spans="1:3">
      <c r="B62" t="s">
        <v>28</v>
      </c>
      <c r="C62">
        <v>3.9824787580957</v>
      </c>
    </row>
    <row r="63" spans="1:3">
      <c r="B63" t="s">
        <v>29</v>
      </c>
      <c r="C63">
        <v>3.1480336262753399E-3</v>
      </c>
    </row>
    <row r="64" spans="1:3">
      <c r="B64" t="s">
        <v>29</v>
      </c>
      <c r="C64">
        <v>0.58954206725285585</v>
      </c>
    </row>
    <row r="65" spans="2:3">
      <c r="B65" t="s">
        <v>29</v>
      </c>
      <c r="C65">
        <v>8.4003588062025892E-3</v>
      </c>
    </row>
    <row r="66" spans="2:3">
      <c r="B66" t="s">
        <v>30</v>
      </c>
      <c r="C66">
        <v>1.36</v>
      </c>
    </row>
    <row r="67" spans="2:3">
      <c r="B67" t="s">
        <v>30</v>
      </c>
      <c r="C67">
        <v>1.36</v>
      </c>
    </row>
    <row r="68" spans="2:3">
      <c r="B68" t="s">
        <v>30</v>
      </c>
      <c r="C68">
        <v>1.3867105339490644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DE4DE-4694-574C-B935-B20A2BBE6E7B}">
  <dimension ref="A1:G28"/>
  <sheetViews>
    <sheetView tabSelected="1" topLeftCell="A9" workbookViewId="0">
      <selection activeCell="F9" sqref="F1:H1048576"/>
    </sheetView>
  </sheetViews>
  <sheetFormatPr baseColWidth="10" defaultColWidth="10.83203125" defaultRowHeight="16"/>
  <cols>
    <col min="1" max="1" width="21.6640625" bestFit="1" customWidth="1"/>
    <col min="2" max="5" width="12.5" bestFit="1" customWidth="1"/>
  </cols>
  <sheetData>
    <row r="1" spans="1:5">
      <c r="A1" s="8" t="s">
        <v>59</v>
      </c>
      <c r="B1" s="9" t="s">
        <v>55</v>
      </c>
      <c r="C1" s="9" t="s">
        <v>56</v>
      </c>
      <c r="D1" s="9" t="s">
        <v>57</v>
      </c>
      <c r="E1" s="9" t="s">
        <v>58</v>
      </c>
    </row>
    <row r="2" spans="1:5">
      <c r="A2" s="10" t="s">
        <v>31</v>
      </c>
      <c r="B2" s="9">
        <v>3.7625499999999998E-4</v>
      </c>
      <c r="C2" s="9">
        <v>3.2656699999999999E-4</v>
      </c>
      <c r="D2" s="9">
        <v>2.6286199999999999E-5</v>
      </c>
      <c r="E2" s="9">
        <v>5.836557E-3</v>
      </c>
    </row>
    <row r="3" spans="1:5">
      <c r="A3" s="10" t="s">
        <v>31</v>
      </c>
      <c r="B3" s="9">
        <v>3.4359599999999999E-4</v>
      </c>
      <c r="C3" s="9">
        <v>6.3924900000000005E-4</v>
      </c>
      <c r="D3" s="9">
        <v>2.2964099999999999E-4</v>
      </c>
      <c r="E3" s="9">
        <v>4.750626E-3</v>
      </c>
    </row>
    <row r="4" spans="1:5">
      <c r="A4" s="10" t="s">
        <v>31</v>
      </c>
      <c r="B4" s="9">
        <v>4.0437999999999997E-4</v>
      </c>
      <c r="C4" s="9">
        <v>5.0433400000000005E-4</v>
      </c>
      <c r="D4" s="9">
        <v>3.5415499999999999E-4</v>
      </c>
      <c r="E4" s="9">
        <v>5.091595E-3</v>
      </c>
    </row>
    <row r="5" spans="1:5">
      <c r="A5" s="10" t="s">
        <v>32</v>
      </c>
      <c r="B5" s="9">
        <v>7.7160163000000004E-2</v>
      </c>
      <c r="C5" s="9">
        <v>4.4583901000000002E-2</v>
      </c>
      <c r="D5" s="9">
        <v>0.114281728</v>
      </c>
      <c r="E5" s="9">
        <v>4.1877912000000003E-2</v>
      </c>
    </row>
    <row r="6" spans="1:5">
      <c r="A6" s="10" t="s">
        <v>32</v>
      </c>
      <c r="B6" s="9">
        <v>7.8020659000000006E-2</v>
      </c>
      <c r="C6" s="9">
        <v>5.0859697000000002E-2</v>
      </c>
      <c r="D6" s="9">
        <v>0.11757609400000001</v>
      </c>
      <c r="E6" s="9">
        <v>4.3535416E-2</v>
      </c>
    </row>
    <row r="7" spans="1:5">
      <c r="A7" s="10" t="s">
        <v>32</v>
      </c>
      <c r="B7" s="9">
        <v>6.2760470999999998E-2</v>
      </c>
      <c r="C7" s="9">
        <v>4.6188153000000003E-2</v>
      </c>
      <c r="D7" s="9">
        <v>0.119217396</v>
      </c>
      <c r="E7" s="9">
        <v>4.0032994000000002E-2</v>
      </c>
    </row>
    <row r="8" spans="1:5">
      <c r="A8" s="10" t="s">
        <v>23</v>
      </c>
      <c r="B8" s="9">
        <v>3.4007575999999998E-2</v>
      </c>
      <c r="C8" s="9">
        <v>1.7153735999999999E-2</v>
      </c>
      <c r="D8" s="9">
        <v>5.4775200000000003E-2</v>
      </c>
      <c r="E8" s="9">
        <v>1.7007716999999999E-2</v>
      </c>
    </row>
    <row r="9" spans="1:5">
      <c r="A9" s="10" t="s">
        <v>23</v>
      </c>
      <c r="B9" s="9">
        <v>3.4674046E-2</v>
      </c>
      <c r="C9" s="9">
        <v>2.6090469000000002E-2</v>
      </c>
      <c r="D9" s="9">
        <v>5.7418786999999999E-2</v>
      </c>
      <c r="E9" s="9">
        <v>1.7977463999999999E-2</v>
      </c>
    </row>
    <row r="10" spans="1:5">
      <c r="A10" s="10" t="s">
        <v>23</v>
      </c>
      <c r="B10" s="9">
        <v>3.384297E-2</v>
      </c>
      <c r="C10" s="9">
        <v>1.6812367000000002E-2</v>
      </c>
      <c r="D10" s="9">
        <v>4.9263626999999997E-2</v>
      </c>
      <c r="E10" s="9">
        <v>1.7668621999999998E-2</v>
      </c>
    </row>
    <row r="11" spans="1:5">
      <c r="A11" s="10" t="s">
        <v>24</v>
      </c>
      <c r="B11" s="9">
        <v>9.2842429999999993E-3</v>
      </c>
      <c r="C11" s="9">
        <v>1.2367234E-2</v>
      </c>
      <c r="D11" s="9">
        <v>2.6786811000000001E-2</v>
      </c>
      <c r="E11" s="9">
        <v>4.4173756000000002E-2</v>
      </c>
    </row>
    <row r="12" spans="1:5">
      <c r="A12" s="10" t="s">
        <v>24</v>
      </c>
      <c r="B12" s="9">
        <v>8.7106739999999998E-3</v>
      </c>
      <c r="C12" s="9">
        <v>1.1863444000000001E-2</v>
      </c>
      <c r="D12" s="9">
        <v>2.5289226000000001E-2</v>
      </c>
      <c r="E12" s="9">
        <v>4.7839076000000001E-2</v>
      </c>
    </row>
    <row r="13" spans="1:5">
      <c r="A13" s="10" t="s">
        <v>24</v>
      </c>
      <c r="B13" s="9">
        <v>9.2971229999999992E-3</v>
      </c>
      <c r="C13" s="9">
        <v>1.2565977000000001E-2</v>
      </c>
      <c r="D13" s="9">
        <v>2.4461668999999998E-2</v>
      </c>
      <c r="E13" s="9">
        <v>4.6402081999999997E-2</v>
      </c>
    </row>
    <row r="14" spans="1:5">
      <c r="A14" s="10" t="s">
        <v>25</v>
      </c>
      <c r="B14" s="9">
        <v>2.7355978999999999E-2</v>
      </c>
      <c r="C14" s="9">
        <v>1.1285910999999999E-2</v>
      </c>
      <c r="D14" s="9">
        <v>4.3937439999999998E-3</v>
      </c>
      <c r="E14" s="9">
        <v>1.1697413E-2</v>
      </c>
    </row>
    <row r="15" spans="1:5">
      <c r="A15" s="10" t="s">
        <v>25</v>
      </c>
      <c r="B15" s="9">
        <v>2.9462017E-2</v>
      </c>
      <c r="C15" s="9">
        <v>1.1611246E-2</v>
      </c>
      <c r="D15" s="9">
        <v>3.5688289999999999E-3</v>
      </c>
      <c r="E15" s="9">
        <v>1.1005232E-2</v>
      </c>
    </row>
    <row r="16" spans="1:5">
      <c r="A16" s="10" t="s">
        <v>25</v>
      </c>
      <c r="B16" s="9">
        <v>2.7431931E-2</v>
      </c>
      <c r="C16" s="9">
        <v>1.1467277E-2</v>
      </c>
      <c r="D16" s="9">
        <v>3.7827910000000002E-3</v>
      </c>
      <c r="E16" s="9">
        <v>1.1803294000000001E-2</v>
      </c>
    </row>
    <row r="17" spans="1:7">
      <c r="A17" s="10" t="s">
        <v>26</v>
      </c>
      <c r="B17" s="9">
        <v>3.50833E-3</v>
      </c>
      <c r="C17" s="9">
        <v>4.8988770000000003E-3</v>
      </c>
      <c r="D17" s="9">
        <v>4.3998400000000003E-3</v>
      </c>
      <c r="E17" s="9">
        <v>6.7698209999999997E-3</v>
      </c>
    </row>
    <row r="18" spans="1:7">
      <c r="A18" s="10" t="s">
        <v>26</v>
      </c>
      <c r="B18" s="9">
        <v>3.3236860000000002E-3</v>
      </c>
      <c r="C18" s="9">
        <v>4.6733299999999998E-3</v>
      </c>
      <c r="D18" s="9">
        <v>4.1711669999999999E-3</v>
      </c>
      <c r="E18" s="9">
        <v>6.272835E-3</v>
      </c>
    </row>
    <row r="19" spans="1:7">
      <c r="A19" s="10" t="s">
        <v>26</v>
      </c>
      <c r="B19" s="9">
        <v>3.5944829999999999E-3</v>
      </c>
      <c r="C19" s="9">
        <v>4.9638210000000002E-3</v>
      </c>
      <c r="D19" s="9">
        <v>3.899937E-3</v>
      </c>
      <c r="E19" s="9">
        <v>6.1182440000000001E-3</v>
      </c>
    </row>
    <row r="20" spans="1:7">
      <c r="A20" s="12" t="s">
        <v>27</v>
      </c>
      <c r="B20" s="15">
        <v>3.2392100000000002E-4</v>
      </c>
      <c r="C20" s="13">
        <v>6.7286000000000006E-5</v>
      </c>
      <c r="D20" s="13">
        <v>1.31347E-4</v>
      </c>
      <c r="E20" s="13">
        <v>8.6456499999999995E-5</v>
      </c>
      <c r="G20" s="11"/>
    </row>
    <row r="21" spans="1:7">
      <c r="A21" s="12" t="s">
        <v>27</v>
      </c>
      <c r="B21" s="13">
        <v>1.0067499999999999E-4</v>
      </c>
      <c r="C21" s="13">
        <v>7.7991000000000006E-5</v>
      </c>
      <c r="D21" s="13">
        <v>2.1441099999999999E-4</v>
      </c>
      <c r="E21" s="13">
        <v>7.9006599999999997E-5</v>
      </c>
    </row>
    <row r="22" spans="1:7">
      <c r="A22" s="12" t="s">
        <v>27</v>
      </c>
      <c r="B22" s="7">
        <v>5.2040703843259103E-5</v>
      </c>
      <c r="C22" s="7">
        <v>7.6598022178449318E-5</v>
      </c>
      <c r="D22" s="7">
        <v>1.4283792153394983E-4</v>
      </c>
      <c r="E22" s="7">
        <v>1.0446688634623337E-4</v>
      </c>
      <c r="G22" s="11"/>
    </row>
    <row r="23" spans="1:7">
      <c r="A23" s="12" t="s">
        <v>29</v>
      </c>
      <c r="B23" s="13">
        <v>9.8682407999999999E-2</v>
      </c>
      <c r="C23" s="13">
        <v>4.9503236999999999E-2</v>
      </c>
      <c r="D23" s="15">
        <v>0.36603350800000001</v>
      </c>
      <c r="E23" s="13">
        <v>2.0966959999999999E-3</v>
      </c>
    </row>
    <row r="24" spans="1:7">
      <c r="A24" s="12" t="s">
        <v>29</v>
      </c>
      <c r="B24" s="13">
        <v>0.101110169</v>
      </c>
      <c r="C24" s="13">
        <v>5.4510072999999999E-2</v>
      </c>
      <c r="D24" s="13">
        <v>0.32885490000000001</v>
      </c>
      <c r="E24" s="13">
        <v>1.938738E-3</v>
      </c>
    </row>
    <row r="25" spans="1:7">
      <c r="A25" s="12" t="s">
        <v>29</v>
      </c>
      <c r="B25" s="13">
        <v>9.6254646999999999E-2</v>
      </c>
      <c r="C25" s="13">
        <v>5.1820497E-2</v>
      </c>
      <c r="D25" s="13">
        <v>0.21266678999999999</v>
      </c>
      <c r="E25" s="13">
        <v>1.7864770000000001E-3</v>
      </c>
      <c r="G25" s="11"/>
    </row>
    <row r="26" spans="1:7">
      <c r="A26" s="12" t="s">
        <v>30</v>
      </c>
      <c r="B26" s="13">
        <v>5.7671406000000001E-2</v>
      </c>
      <c r="C26" s="13">
        <v>7.0837969000000001E-2</v>
      </c>
      <c r="D26" s="15">
        <v>6.1585672700000003E-2</v>
      </c>
      <c r="E26" s="13">
        <v>4.4081994999999999E-2</v>
      </c>
    </row>
    <row r="27" spans="1:7">
      <c r="A27" s="14" t="s">
        <v>30</v>
      </c>
      <c r="B27" s="13">
        <v>5.5475708999999998E-2</v>
      </c>
      <c r="C27" s="13">
        <v>6.9476392999999997E-2</v>
      </c>
      <c r="D27" s="13">
        <v>6.0189960000000001E-2</v>
      </c>
      <c r="E27" s="13">
        <v>6.7018060000000004E-2</v>
      </c>
    </row>
    <row r="28" spans="1:7">
      <c r="A28" s="14" t="s">
        <v>30</v>
      </c>
      <c r="B28" s="13">
        <v>6.1001985000000002E-2</v>
      </c>
      <c r="C28" s="13">
        <v>6.8853158999999997E-2</v>
      </c>
      <c r="D28" s="13">
        <v>6.4868714999999993E-2</v>
      </c>
      <c r="E28" s="13">
        <v>8.9954129999999993E-2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2025-08-01T15:24:10Z</dcterms:created>
  <dcterms:modified xsi:type="dcterms:W3CDTF">2025-08-06T02:31:12Z</dcterms:modified>
</cp:coreProperties>
</file>